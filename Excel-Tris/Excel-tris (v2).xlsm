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\Documents\GOOGLE DRIVE\SCHOOL\2019 Fall - School Files\Code\Excel\Excel-Tris\"/>
    </mc:Choice>
  </mc:AlternateContent>
  <xr:revisionPtr revIDLastSave="0" documentId="13_ncr:1_{9D7E78B6-F09A-4EDD-B145-D7B6D01985C2}" xr6:coauthVersionLast="44" xr6:coauthVersionMax="44" xr10:uidLastSave="{00000000-0000-0000-0000-000000000000}"/>
  <bookViews>
    <workbookView xWindow="-96" yWindow="-96" windowWidth="23232" windowHeight="12696" xr2:uid="{1C57E524-916E-4E2D-84DE-190913D19443}"/>
  </bookViews>
  <sheets>
    <sheet name="Tetris" sheetId="2" r:id="rId1"/>
    <sheet name="Score List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" i="2" l="1"/>
  <c r="K6" i="2"/>
  <c r="K7" i="2"/>
  <c r="E8" i="2"/>
  <c r="F8" i="2"/>
  <c r="K8" i="2"/>
  <c r="E9" i="2"/>
  <c r="F9" i="2"/>
  <c r="K9" i="2"/>
  <c r="E10" i="2"/>
  <c r="F10" i="2"/>
  <c r="K10" i="2"/>
  <c r="E11" i="2"/>
  <c r="F11" i="2"/>
  <c r="K11" i="2"/>
  <c r="E12" i="2"/>
  <c r="F12" i="2"/>
  <c r="K12" i="2"/>
  <c r="E13" i="2"/>
  <c r="F13" i="2"/>
  <c r="K13" i="2"/>
  <c r="E14" i="2"/>
  <c r="F14" i="2"/>
  <c r="K14" i="2"/>
  <c r="E15" i="2"/>
  <c r="F15" i="2"/>
  <c r="K15" i="2"/>
  <c r="E16" i="2"/>
  <c r="F16" i="2"/>
  <c r="K16" i="2"/>
  <c r="E17" i="2"/>
  <c r="F17" i="2"/>
  <c r="K17" i="2"/>
  <c r="E18" i="2"/>
  <c r="F18" i="2"/>
  <c r="K18" i="2"/>
  <c r="K19" i="2"/>
  <c r="K20" i="2"/>
  <c r="K21" i="2"/>
  <c r="K22" i="2"/>
  <c r="K23" i="2"/>
  <c r="J23" i="2"/>
  <c r="J22" i="2"/>
  <c r="J21" i="2"/>
  <c r="I20" i="2"/>
  <c r="J20" i="2"/>
  <c r="J19" i="2"/>
  <c r="I19" i="2"/>
  <c r="G18" i="2"/>
  <c r="H18" i="2"/>
  <c r="I18" i="2"/>
  <c r="J18" i="2"/>
  <c r="G17" i="2"/>
  <c r="H17" i="2"/>
  <c r="I17" i="2"/>
  <c r="J17" i="2"/>
  <c r="J16" i="2"/>
  <c r="G16" i="2"/>
  <c r="H16" i="2"/>
  <c r="I16" i="2"/>
  <c r="G15" i="2"/>
  <c r="H15" i="2"/>
  <c r="I15" i="2"/>
  <c r="J15" i="2"/>
  <c r="H14" i="2"/>
  <c r="I14" i="2"/>
  <c r="J14" i="2"/>
  <c r="G14" i="2"/>
  <c r="J13" i="2"/>
  <c r="G13" i="2"/>
  <c r="H13" i="2"/>
  <c r="I13" i="2"/>
  <c r="G12" i="2"/>
  <c r="H12" i="2"/>
  <c r="I12" i="2"/>
  <c r="J12" i="2"/>
  <c r="I11" i="2"/>
  <c r="J11" i="2"/>
  <c r="H11" i="2"/>
  <c r="G11" i="2"/>
  <c r="G10" i="2"/>
  <c r="H10" i="2"/>
  <c r="I10" i="2"/>
  <c r="J10" i="2"/>
  <c r="G9" i="2"/>
  <c r="H9" i="2"/>
  <c r="I9" i="2"/>
  <c r="J9" i="2"/>
  <c r="J8" i="2"/>
  <c r="I8" i="2"/>
  <c r="H8" i="2"/>
  <c r="G8" i="2"/>
  <c r="J5" i="2"/>
  <c r="J6" i="2"/>
  <c r="J7" i="2"/>
  <c r="I5" i="2"/>
  <c r="I6" i="2"/>
  <c r="I7" i="2"/>
  <c r="G7" i="2"/>
  <c r="H7" i="2"/>
  <c r="F7" i="2"/>
  <c r="E7" i="2"/>
  <c r="E21" i="2"/>
  <c r="F22" i="2"/>
  <c r="G22" i="2"/>
  <c r="E20" i="2"/>
  <c r="F21" i="2"/>
  <c r="G21" i="2"/>
  <c r="E19" i="2"/>
  <c r="F20" i="2"/>
  <c r="F19" i="2"/>
  <c r="G20" i="2"/>
  <c r="G19" i="2"/>
  <c r="H20" i="2"/>
  <c r="H19" i="2"/>
  <c r="E22" i="2"/>
  <c r="D22" i="2"/>
  <c r="D21" i="2"/>
  <c r="D20" i="2"/>
  <c r="C20" i="2"/>
  <c r="C19" i="2"/>
  <c r="D19" i="2"/>
  <c r="B19" i="2"/>
  <c r="B18" i="2"/>
  <c r="C18" i="2"/>
  <c r="D18" i="2"/>
  <c r="C17" i="2"/>
  <c r="B17" i="2"/>
  <c r="D17" i="2"/>
  <c r="B16" i="2"/>
  <c r="C16" i="2"/>
  <c r="D16" i="2"/>
  <c r="D15" i="2"/>
  <c r="C15" i="2"/>
  <c r="B15" i="2"/>
  <c r="C14" i="2"/>
  <c r="D14" i="2"/>
  <c r="B14" i="2"/>
  <c r="B13" i="2"/>
  <c r="D13" i="2"/>
  <c r="C13" i="2"/>
  <c r="B12" i="2"/>
  <c r="C12" i="2"/>
  <c r="D12" i="2"/>
  <c r="B11" i="2"/>
  <c r="C11" i="2"/>
  <c r="D11" i="2"/>
  <c r="B10" i="2"/>
  <c r="C10" i="2"/>
  <c r="D10" i="2"/>
  <c r="B9" i="2"/>
  <c r="C9" i="2"/>
  <c r="D9" i="2"/>
  <c r="B8" i="2"/>
  <c r="D8" i="2"/>
  <c r="C8" i="2"/>
  <c r="D7" i="2"/>
  <c r="C7" i="2"/>
  <c r="B7" i="2"/>
  <c r="B5" i="2"/>
  <c r="B6" i="2"/>
  <c r="C5" i="2"/>
  <c r="C6" i="2"/>
  <c r="D6" i="2"/>
  <c r="D5" i="2"/>
  <c r="E6" i="2"/>
  <c r="F6" i="2"/>
  <c r="G6" i="2"/>
  <c r="H6" i="2"/>
  <c r="E5" i="2"/>
  <c r="F5" i="2"/>
  <c r="G5" i="2"/>
  <c r="H5" i="2"/>
  <c r="G24" i="2"/>
  <c r="H3" i="3" l="1"/>
  <c r="G3" i="3" s="1"/>
  <c r="BF3" i="2" s="1"/>
  <c r="W27" i="2"/>
  <c r="BG3" i="2" l="1"/>
  <c r="J3" i="3"/>
  <c r="I3" i="3"/>
  <c r="BH3" i="2" s="1"/>
  <c r="A28" i="2"/>
  <c r="R35" i="2"/>
  <c r="O19" i="2"/>
  <c r="T12" i="2"/>
  <c r="P35" i="2"/>
  <c r="Q9" i="2"/>
  <c r="R20" i="2"/>
  <c r="P7" i="2"/>
  <c r="Q34" i="2"/>
  <c r="S15" i="2"/>
  <c r="O22" i="2"/>
  <c r="R41" i="2"/>
  <c r="P21" i="2"/>
  <c r="P15" i="2"/>
  <c r="S12" i="2"/>
  <c r="S26" i="2"/>
  <c r="S33" i="2"/>
  <c r="O44" i="2"/>
  <c r="T44" i="2"/>
  <c r="R27" i="2"/>
  <c r="P19" i="2"/>
  <c r="P27" i="2"/>
  <c r="P29" i="2"/>
  <c r="Q44" i="2"/>
  <c r="R19" i="2"/>
  <c r="S28" i="2"/>
  <c r="O7" i="2"/>
  <c r="Q37" i="2"/>
  <c r="P36" i="2"/>
  <c r="R28" i="2"/>
  <c r="H4" i="3"/>
  <c r="Q43" i="2"/>
  <c r="P33" i="2"/>
  <c r="Q36" i="2"/>
  <c r="Q28" i="2"/>
  <c r="Q42" i="2"/>
  <c r="T35" i="2"/>
  <c r="O41" i="2"/>
  <c r="T40" i="2"/>
  <c r="R42" i="2"/>
  <c r="Q23" i="2"/>
  <c r="O36" i="2"/>
  <c r="S22" i="2"/>
  <c r="T36" i="2"/>
  <c r="R5" i="2"/>
  <c r="R36" i="2"/>
  <c r="O6" i="2"/>
  <c r="R15" i="2"/>
  <c r="Q12" i="2"/>
  <c r="Q40" i="2"/>
  <c r="P14" i="2"/>
  <c r="S20" i="2"/>
  <c r="R22" i="2"/>
  <c r="R13" i="2"/>
  <c r="O14" i="2"/>
  <c r="S6" i="2"/>
  <c r="Q30" i="2"/>
  <c r="T6" i="2"/>
  <c r="P28" i="2"/>
  <c r="R26" i="2"/>
  <c r="P34" i="2"/>
  <c r="Q16" i="2"/>
  <c r="T41" i="2"/>
  <c r="T28" i="2"/>
  <c r="T5" i="2"/>
  <c r="R34" i="2"/>
  <c r="T37" i="2"/>
  <c r="S30" i="2"/>
  <c r="Q20" i="2"/>
  <c r="P26" i="2"/>
  <c r="O27" i="2"/>
  <c r="P30" i="2"/>
  <c r="R8" i="2"/>
  <c r="P37" i="2"/>
  <c r="S7" i="2"/>
  <c r="O5" i="2"/>
  <c r="O9" i="2"/>
  <c r="O8" i="2"/>
  <c r="P43" i="2"/>
  <c r="S9" i="2"/>
  <c r="R43" i="2"/>
  <c r="Q29" i="2"/>
  <c r="Q33" i="2"/>
  <c r="T16" i="2"/>
  <c r="P40" i="2"/>
  <c r="T21" i="2"/>
  <c r="Q41" i="2"/>
  <c r="Q35" i="2"/>
  <c r="S27" i="2"/>
  <c r="S42" i="2"/>
  <c r="S29" i="2"/>
  <c r="T14" i="2"/>
  <c r="O16" i="2"/>
  <c r="T43" i="2"/>
  <c r="P13" i="2"/>
  <c r="Q6" i="2"/>
  <c r="O15" i="2"/>
  <c r="T19" i="2"/>
  <c r="P5" i="2"/>
  <c r="S44" i="2"/>
  <c r="Q27" i="2"/>
  <c r="T42" i="2"/>
  <c r="S40" i="2"/>
  <c r="T34" i="2"/>
  <c r="R44" i="2"/>
  <c r="P44" i="2"/>
  <c r="P22" i="2"/>
  <c r="S36" i="2"/>
  <c r="T23" i="2"/>
  <c r="T9" i="2"/>
  <c r="O30" i="2"/>
  <c r="S16" i="2"/>
  <c r="S37" i="2"/>
  <c r="R14" i="2"/>
  <c r="P20" i="2"/>
  <c r="P12" i="2"/>
  <c r="Q21" i="2"/>
  <c r="Q22" i="2"/>
  <c r="S21" i="2"/>
  <c r="O40" i="2"/>
  <c r="S5" i="2"/>
  <c r="T20" i="2"/>
  <c r="T26" i="2"/>
  <c r="R29" i="2"/>
  <c r="Q8" i="2"/>
  <c r="R21" i="2"/>
  <c r="S34" i="2"/>
  <c r="T29" i="2"/>
  <c r="P41" i="2"/>
  <c r="O34" i="2"/>
  <c r="O13" i="2"/>
  <c r="T15" i="2"/>
  <c r="Q26" i="2"/>
  <c r="P9" i="2"/>
  <c r="S35" i="2"/>
  <c r="S23" i="2"/>
  <c r="O43" i="2"/>
  <c r="Q7" i="2"/>
  <c r="T22" i="2"/>
  <c r="P42" i="2"/>
  <c r="O37" i="2"/>
  <c r="T33" i="2"/>
  <c r="O28" i="2"/>
  <c r="P16" i="2"/>
  <c r="R6" i="2"/>
  <c r="S13" i="2"/>
  <c r="T8" i="2"/>
  <c r="R37" i="2"/>
  <c r="R33" i="2"/>
  <c r="R12" i="2"/>
  <c r="Q19" i="2"/>
  <c r="Q15" i="2"/>
  <c r="O23" i="2"/>
  <c r="O21" i="2"/>
  <c r="O35" i="2"/>
  <c r="R7" i="2"/>
  <c r="S41" i="2"/>
  <c r="T13" i="2"/>
  <c r="O33" i="2"/>
  <c r="Q13" i="2"/>
  <c r="S14" i="2"/>
  <c r="Q14" i="2"/>
  <c r="S19" i="2"/>
  <c r="T7" i="2"/>
  <c r="O26" i="2"/>
  <c r="S43" i="2"/>
  <c r="O29" i="2"/>
  <c r="P6" i="2"/>
  <c r="R40" i="2"/>
  <c r="P8" i="2"/>
  <c r="O12" i="2"/>
  <c r="O20" i="2"/>
  <c r="Q5" i="2"/>
  <c r="P23" i="2"/>
  <c r="S8" i="2"/>
  <c r="O42" i="2"/>
  <c r="T32" i="2" l="1"/>
  <c r="T39" i="2"/>
  <c r="BG4" i="2"/>
  <c r="I4" i="3"/>
  <c r="G4" i="3"/>
  <c r="T30" i="2"/>
  <c r="T27" i="2"/>
  <c r="J4" i="3"/>
  <c r="BH4" i="2" l="1"/>
  <c r="BF4" i="2"/>
  <c r="H5" i="3"/>
  <c r="BG5" i="2" l="1"/>
  <c r="J5" i="3"/>
  <c r="G5" i="3"/>
  <c r="I5" i="3"/>
  <c r="BF5" i="2" l="1"/>
  <c r="BH5" i="2"/>
  <c r="H6" i="3"/>
  <c r="BG6" i="2" l="1"/>
  <c r="J6" i="3"/>
  <c r="G6" i="3"/>
  <c r="I6" i="3"/>
  <c r="BF6" i="2" l="1"/>
  <c r="BH6" i="2"/>
  <c r="H7" i="3"/>
  <c r="BG7" i="2" l="1"/>
  <c r="J7" i="3"/>
  <c r="G7" i="3"/>
  <c r="I7" i="3"/>
  <c r="BF7" i="2" l="1"/>
  <c r="BH7" i="2"/>
  <c r="H8" i="3"/>
  <c r="BG8" i="2" l="1"/>
  <c r="I8" i="3"/>
  <c r="G8" i="3"/>
  <c r="J8" i="3"/>
  <c r="BH8" i="2" l="1"/>
  <c r="BF8" i="2"/>
  <c r="H9" i="3"/>
  <c r="BG9" i="2" l="1"/>
  <c r="J9" i="3"/>
  <c r="G9" i="3"/>
  <c r="I9" i="3"/>
  <c r="BH9" i="2" l="1"/>
  <c r="BF9" i="2"/>
  <c r="H10" i="3"/>
  <c r="BG10" i="2" l="1"/>
  <c r="I10" i="3"/>
  <c r="J10" i="3"/>
  <c r="G10" i="3"/>
  <c r="BF10" i="2" l="1"/>
  <c r="BH10" i="2"/>
  <c r="H11" i="3"/>
  <c r="BG11" i="2" l="1"/>
  <c r="J11" i="3"/>
  <c r="I11" i="3"/>
  <c r="G11" i="3"/>
  <c r="BF11" i="2" l="1"/>
  <c r="BH11" i="2"/>
  <c r="H12" i="3"/>
  <c r="BG12" i="2" l="1"/>
  <c r="J12" i="3"/>
  <c r="G12" i="3"/>
  <c r="I12" i="3"/>
  <c r="BF12" i="2" l="1"/>
  <c r="BH12" i="2"/>
  <c r="R23" i="2"/>
  <c r="R16" i="2"/>
  <c r="R9" i="2"/>
  <c r="R30" i="2"/>
  <c r="T11" i="2" l="1"/>
  <c r="X31" i="2" s="1"/>
  <c r="T18" i="2"/>
  <c r="T25" i="2"/>
</calcChain>
</file>

<file path=xl/sharedStrings.xml><?xml version="1.0" encoding="utf-8"?>
<sst xmlns="http://schemas.openxmlformats.org/spreadsheetml/2006/main" count="180" uniqueCount="45">
  <si>
    <t>TETRIS</t>
  </si>
  <si>
    <t>Square Block</t>
  </si>
  <si>
    <t>First Position</t>
  </si>
  <si>
    <t>Second Position</t>
  </si>
  <si>
    <t>Third Position</t>
  </si>
  <si>
    <t>Fourth Position</t>
  </si>
  <si>
    <t>Line Piece</t>
  </si>
  <si>
    <t>Left L Piece</t>
  </si>
  <si>
    <t>Right L Piece</t>
  </si>
  <si>
    <t>Right S Piece</t>
  </si>
  <si>
    <t>Left S Piece</t>
  </si>
  <si>
    <t>X</t>
  </si>
  <si>
    <t>Y</t>
  </si>
  <si>
    <t>Rotation</t>
  </si>
  <si>
    <t>Field State</t>
  </si>
  <si>
    <t>Can Move Down?</t>
  </si>
  <si>
    <t>Can Move Left?</t>
  </si>
  <si>
    <t>Can Move Right?</t>
  </si>
  <si>
    <t>Can Rotate Left?</t>
  </si>
  <si>
    <t>Can Rotate Right?</t>
  </si>
  <si>
    <t>Piece</t>
  </si>
  <si>
    <t>Piece:</t>
  </si>
  <si>
    <t>Rotation:</t>
  </si>
  <si>
    <t>Next Piece</t>
  </si>
  <si>
    <t>Current Piece</t>
  </si>
  <si>
    <t>Game Over?</t>
  </si>
  <si>
    <t>Piece Generator</t>
  </si>
  <si>
    <t>Storage</t>
  </si>
  <si>
    <t>Next</t>
  </si>
  <si>
    <t>Stored</t>
  </si>
  <si>
    <t>Used?</t>
  </si>
  <si>
    <t>Speed</t>
  </si>
  <si>
    <t>Pieces Placed</t>
  </si>
  <si>
    <t>LEVEL</t>
  </si>
  <si>
    <t>SCORE</t>
  </si>
  <si>
    <t>Running?</t>
  </si>
  <si>
    <t>T Block</t>
  </si>
  <si>
    <t>Name</t>
  </si>
  <si>
    <t>Score</t>
  </si>
  <si>
    <t>Rank</t>
  </si>
  <si>
    <t>LEADER BOARD</t>
  </si>
  <si>
    <t>Archive</t>
  </si>
  <si>
    <t>Row Number</t>
  </si>
  <si>
    <t>Will M.</t>
  </si>
  <si>
    <t>Logged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</si>
</sst>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dd\,\ yyyy\ \-\ hh:mm:ss\ AM/PM"/>
  </numFmts>
  <fonts count="14" x14ac:knownFonts="1">
    <font>
      <sz val="11"/>
      <color theme="1"/>
      <name val="Calibri"/>
      <family val="2"/>
      <scheme val="minor"/>
    </font>
    <font>
      <sz val="50"/>
      <color theme="1"/>
      <name val="Calibri"/>
      <family val="2"/>
      <scheme val="minor"/>
    </font>
    <font>
      <sz val="11"/>
      <color theme="6" tint="0.59999389629810485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800080"/>
      <name val="Calibri"/>
      <family val="2"/>
    </font>
    <font>
      <sz val="11"/>
      <color rgb="FF993366"/>
      <name val="Calibri"/>
      <family val="2"/>
    </font>
    <font>
      <sz val="11"/>
      <color rgb="FF000080"/>
      <name val="Calibri"/>
      <family val="2"/>
    </font>
    <font>
      <sz val="11"/>
      <color rgb="FF808000"/>
      <name val="Calibri"/>
      <family val="2"/>
    </font>
    <font>
      <sz val="11"/>
      <color rgb="FF008000"/>
      <name val="Calibri"/>
      <family val="2"/>
    </font>
    <font>
      <sz val="11"/>
      <color rgb="FF9933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indexed="8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9179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Border="1"/>
    <xf numFmtId="0" fontId="1" fillId="5" borderId="0" xfId="0" applyFont="1" applyFill="1" applyAlignment="1">
      <alignment vertical="center" textRotation="255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0" fillId="2" borderId="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5" xfId="0" applyFill="1" applyBorder="1"/>
    <xf numFmtId="0" fontId="0" fillId="6" borderId="1" xfId="0" applyFill="1" applyBorder="1"/>
    <xf numFmtId="0" fontId="0" fillId="6" borderId="21" xfId="0" applyFill="1" applyBorder="1"/>
    <xf numFmtId="0" fontId="0" fillId="6" borderId="16" xfId="0" applyFill="1" applyBorder="1"/>
    <xf numFmtId="0" fontId="0" fillId="6" borderId="4" xfId="0" applyFill="1" applyBorder="1"/>
    <xf numFmtId="0" fontId="0" fillId="8" borderId="1" xfId="0" applyFill="1" applyBorder="1"/>
    <xf numFmtId="0" fontId="0" fillId="8" borderId="21" xfId="0" applyFill="1" applyBorder="1"/>
    <xf numFmtId="0" fontId="0" fillId="8" borderId="16" xfId="0" applyFill="1" applyBorder="1"/>
    <xf numFmtId="0" fontId="0" fillId="9" borderId="1" xfId="0" applyFill="1" applyBorder="1"/>
    <xf numFmtId="0" fontId="0" fillId="9" borderId="21" xfId="0" applyFill="1" applyBorder="1"/>
    <xf numFmtId="0" fontId="0" fillId="9" borderId="15" xfId="0" applyFill="1" applyBorder="1"/>
    <xf numFmtId="0" fontId="3" fillId="0" borderId="6" xfId="0" applyFont="1" applyBorder="1"/>
    <xf numFmtId="0" fontId="3" fillId="0" borderId="9" xfId="0" applyFont="1" applyBorder="1"/>
    <xf numFmtId="0" fontId="3" fillId="0" borderId="11" xfId="0" applyFont="1" applyBorder="1"/>
    <xf numFmtId="0" fontId="3" fillId="0" borderId="5" xfId="0" applyFont="1" applyBorder="1"/>
    <xf numFmtId="0" fontId="3" fillId="0" borderId="12" xfId="0" applyFont="1" applyBorder="1"/>
    <xf numFmtId="0" fontId="3" fillId="0" borderId="10" xfId="0" applyFont="1" applyBorder="1"/>
    <xf numFmtId="0" fontId="0" fillId="10" borderId="9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4" fillId="12" borderId="0" xfId="0" applyFon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10" borderId="11" xfId="0" applyFill="1" applyBorder="1"/>
    <xf numFmtId="0" fontId="0" fillId="11" borderId="5" xfId="0" applyFill="1" applyBorder="1"/>
    <xf numFmtId="0" fontId="4" fillId="12" borderId="5" xfId="0" applyFont="1" applyFill="1" applyBorder="1"/>
    <xf numFmtId="0" fontId="0" fillId="4" borderId="12" xfId="0" applyFill="1" applyBorder="1"/>
    <xf numFmtId="0" fontId="4" fillId="0" borderId="28" xfId="0" applyFont="1" applyFill="1" applyBorder="1"/>
    <xf numFmtId="0" fontId="0" fillId="0" borderId="26" xfId="0" applyBorder="1"/>
    <xf numFmtId="0" fontId="0" fillId="0" borderId="29" xfId="0" applyBorder="1"/>
    <xf numFmtId="0" fontId="0" fillId="0" borderId="31" xfId="0" applyBorder="1"/>
    <xf numFmtId="0" fontId="0" fillId="0" borderId="28" xfId="0" applyBorder="1"/>
    <xf numFmtId="0" fontId="4" fillId="0" borderId="34" xfId="0" applyFont="1" applyFill="1" applyBorder="1"/>
    <xf numFmtId="0" fontId="3" fillId="0" borderId="35" xfId="0" applyFont="1" applyBorder="1"/>
    <xf numFmtId="0" fontId="0" fillId="13" borderId="7" xfId="0" applyFill="1" applyBorder="1"/>
    <xf numFmtId="0" fontId="0" fillId="13" borderId="8" xfId="0" applyFill="1" applyBorder="1"/>
    <xf numFmtId="0" fontId="0" fillId="13" borderId="0" xfId="0" applyFill="1" applyBorder="1"/>
    <xf numFmtId="0" fontId="0" fillId="13" borderId="10" xfId="0" applyFill="1" applyBorder="1"/>
    <xf numFmtId="0" fontId="0" fillId="14" borderId="7" xfId="0" applyFill="1" applyBorder="1"/>
    <xf numFmtId="0" fontId="0" fillId="14" borderId="8" xfId="0" applyFill="1" applyBorder="1"/>
    <xf numFmtId="0" fontId="0" fillId="14" borderId="0" xfId="0" applyFill="1" applyBorder="1"/>
    <xf numFmtId="0" fontId="0" fillId="14" borderId="10" xfId="0" applyFill="1" applyBorder="1"/>
    <xf numFmtId="0" fontId="0" fillId="0" borderId="27" xfId="0" applyBorder="1" applyAlignment="1">
      <alignment horizontal="center"/>
    </xf>
    <xf numFmtId="0" fontId="0" fillId="0" borderId="17" xfId="0" applyBorder="1" applyAlignment="1">
      <alignment horizontal="center"/>
    </xf>
    <xf numFmtId="0" fontId="5" fillId="0" borderId="0" xfId="0" applyFont="1"/>
    <xf numFmtId="0" fontId="3" fillId="0" borderId="8" xfId="0" applyFont="1" applyBorder="1"/>
    <xf numFmtId="0" fontId="12" fillId="0" borderId="0" xfId="0" applyFont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shrinkToFit="1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15" borderId="1" xfId="0" applyFill="1" applyBorder="1"/>
    <xf numFmtId="0" fontId="0" fillId="15" borderId="21" xfId="0" applyFill="1" applyBorder="1"/>
    <xf numFmtId="0" fontId="0" fillId="15" borderId="4" xfId="0" applyFill="1" applyBorder="1"/>
    <xf numFmtId="0" fontId="0" fillId="15" borderId="15" xfId="0" applyFill="1" applyBorder="1"/>
    <xf numFmtId="21" fontId="0" fillId="0" borderId="0" xfId="0" applyNumberFormat="1"/>
    <xf numFmtId="164" fontId="0" fillId="0" borderId="0" xfId="0" applyNumberFormat="1"/>
    <xf numFmtId="22" fontId="0" fillId="0" borderId="0" xfId="0" applyNumberFormat="1"/>
    <xf numFmtId="0" fontId="0" fillId="0" borderId="7" xfId="0" applyBorder="1" applyAlignment="1">
      <alignment horizontal="center"/>
    </xf>
    <xf numFmtId="0" fontId="0" fillId="16" borderId="38" xfId="0" applyFill="1" applyBorder="1" applyAlignment="1">
      <alignment horizontal="center"/>
    </xf>
    <xf numFmtId="164" fontId="0" fillId="16" borderId="8" xfId="0" applyNumberFormat="1" applyFill="1" applyBorder="1" applyAlignment="1">
      <alignment horizontal="center"/>
    </xf>
    <xf numFmtId="0" fontId="0" fillId="0" borderId="37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0" borderId="41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16" borderId="7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1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8" xfId="0" applyBorder="1" applyAlignment="1">
      <alignment horizontal="center" vertical="center" textRotation="255" shrinkToFit="1"/>
    </xf>
    <xf numFmtId="0" fontId="0" fillId="0" borderId="10" xfId="0" applyBorder="1" applyAlignment="1">
      <alignment horizontal="center" vertical="center" textRotation="255" shrinkToFit="1"/>
    </xf>
    <xf numFmtId="0" fontId="0" fillId="0" borderId="6" xfId="0" applyFont="1" applyBorder="1" applyAlignment="1">
      <alignment horizontal="center" vertical="center" textRotation="255" shrinkToFit="1"/>
    </xf>
    <xf numFmtId="0" fontId="0" fillId="0" borderId="9" xfId="0" applyFont="1" applyBorder="1" applyAlignment="1">
      <alignment horizontal="center" vertical="center" textRotation="255" shrinkToFit="1"/>
    </xf>
    <xf numFmtId="0" fontId="0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47">
    <dxf>
      <fill>
        <patternFill>
          <bgColor rgb="FFFF0000"/>
        </patternFill>
      </fill>
    </dxf>
    <dxf>
      <fill>
        <patternFill>
          <bgColor rgb="FFFF7C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7C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B9179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9179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7C8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B9179A"/>
        </patternFill>
      </fill>
    </dxf>
    <dxf>
      <fill>
        <patternFill>
          <bgColor rgb="FFFF7C80"/>
        </patternFill>
      </fill>
      <border>
        <left/>
        <right/>
        <top/>
        <bottom/>
      </border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B9179A"/>
        </patternFill>
      </fill>
    </dxf>
    <dxf>
      <fill>
        <patternFill>
          <bgColor rgb="FFFF7C80"/>
        </patternFill>
      </fill>
      <border>
        <left/>
        <right/>
        <top/>
        <bottom/>
        <vertical/>
        <horizontal/>
      </border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  <color rgb="FFFF99CC"/>
      <color rgb="FFB9179A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</xdr:colOff>
          <xdr:row>4</xdr:row>
          <xdr:rowOff>76200</xdr:rowOff>
        </xdr:from>
        <xdr:to>
          <xdr:col>12</xdr:col>
          <xdr:colOff>609600</xdr:colOff>
          <xdr:row>5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4</xdr:row>
          <xdr:rowOff>76200</xdr:rowOff>
        </xdr:from>
        <xdr:to>
          <xdr:col>13</xdr:col>
          <xdr:colOff>11430</xdr:colOff>
          <xdr:row>5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190500</xdr:rowOff>
        </xdr:from>
        <xdr:to>
          <xdr:col>12</xdr:col>
          <xdr:colOff>601980</xdr:colOff>
          <xdr:row>6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SpinLeft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5</xdr:row>
          <xdr:rowOff>190500</xdr:rowOff>
        </xdr:from>
        <xdr:to>
          <xdr:col>13</xdr:col>
          <xdr:colOff>0</xdr:colOff>
          <xdr:row>6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SpinRight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0</xdr:row>
          <xdr:rowOff>49530</xdr:rowOff>
        </xdr:from>
        <xdr:to>
          <xdr:col>12</xdr:col>
          <xdr:colOff>1162050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201930</xdr:colOff>
          <xdr:row>7</xdr:row>
          <xdr:rowOff>76200</xdr:rowOff>
        </xdr:from>
        <xdr:to>
          <xdr:col>12</xdr:col>
          <xdr:colOff>1028700</xdr:colOff>
          <xdr:row>9</xdr:row>
          <xdr:rowOff>49530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2</xdr:row>
          <xdr:rowOff>30480</xdr:rowOff>
        </xdr:from>
        <xdr:to>
          <xdr:col>12</xdr:col>
          <xdr:colOff>1162050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201930</xdr:colOff>
          <xdr:row>9</xdr:row>
          <xdr:rowOff>114300</xdr:rowOff>
        </xdr:from>
        <xdr:to>
          <xdr:col>12</xdr:col>
          <xdr:colOff>1028700</xdr:colOff>
          <xdr:row>10</xdr:row>
          <xdr:rowOff>133350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87630</xdr:colOff>
          <xdr:row>11</xdr:row>
          <xdr:rowOff>11430</xdr:rowOff>
        </xdr:from>
        <xdr:to>
          <xdr:col>12</xdr:col>
          <xdr:colOff>1085850</xdr:colOff>
          <xdr:row>12</xdr:row>
          <xdr:rowOff>49530</xdr:rowOff>
        </xdr:to>
        <xdr:sp macro="" textlink="">
          <xdr:nvSpPr>
            <xdr:cNvPr id="1522" name="Paused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Un-Pause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BB175-2870-4676-BCF1-A912D67E862C}">
  <sheetPr codeName="Sheet2"/>
  <dimension ref="A1:BH44"/>
  <sheetViews>
    <sheetView tabSelected="1" zoomScaleNormal="100" workbookViewId="0"/>
  </sheetViews>
  <sheetFormatPr defaultRowHeight="14.4" x14ac:dyDescent="0.55000000000000004"/>
  <cols>
    <col min="2" max="11" width="4.26171875" customWidth="1"/>
    <col min="13" max="13" width="18.578125" customWidth="1"/>
    <col min="14" max="14" width="16.68359375" customWidth="1"/>
    <col min="15" max="15" width="9.15625" hidden="1" customWidth="1"/>
    <col min="16" max="19" width="11" hidden="1" customWidth="1"/>
    <col min="20" max="55" width="9.15625" hidden="1" customWidth="1"/>
    <col min="57" max="57" width="5.578125" customWidth="1"/>
    <col min="58" max="58" width="14.83984375" customWidth="1"/>
    <col min="59" max="59" width="10.15625" customWidth="1"/>
    <col min="60" max="60" width="32.578125" customWidth="1"/>
  </cols>
  <sheetData>
    <row r="1" spans="1:60" ht="18" customHeight="1" thickBot="1" x14ac:dyDescent="0.6">
      <c r="A1" s="2" t="s">
        <v>0</v>
      </c>
      <c r="B1" s="63"/>
      <c r="C1" s="63"/>
      <c r="D1" s="63"/>
      <c r="E1" s="64"/>
      <c r="F1" s="109" t="s">
        <v>28</v>
      </c>
      <c r="G1" s="111" t="s">
        <v>29</v>
      </c>
      <c r="H1" s="59"/>
      <c r="I1" s="59"/>
      <c r="J1" s="59"/>
      <c r="K1" s="60"/>
      <c r="L1" s="2" t="s">
        <v>0</v>
      </c>
      <c r="M1" s="69" t="s">
        <v>0</v>
      </c>
      <c r="N1" s="71" t="s">
        <v>33</v>
      </c>
      <c r="P1" s="105" t="s">
        <v>24</v>
      </c>
      <c r="Q1" s="106"/>
      <c r="R1" s="106"/>
      <c r="S1" s="107"/>
      <c r="V1" s="103" t="s">
        <v>1</v>
      </c>
      <c r="W1" s="103"/>
      <c r="X1" s="103"/>
      <c r="Y1" s="103"/>
      <c r="AA1" s="108" t="s">
        <v>6</v>
      </c>
      <c r="AB1" s="108"/>
      <c r="AC1" s="108"/>
      <c r="AD1" s="108"/>
      <c r="AF1" s="115" t="s">
        <v>7</v>
      </c>
      <c r="AG1" s="115"/>
      <c r="AH1" s="115"/>
      <c r="AI1" s="115"/>
      <c r="AK1" s="116" t="s">
        <v>8</v>
      </c>
      <c r="AL1" s="116"/>
      <c r="AM1" s="116"/>
      <c r="AN1" s="116"/>
      <c r="AP1" s="114" t="s">
        <v>9</v>
      </c>
      <c r="AQ1" s="114"/>
      <c r="AR1" s="114"/>
      <c r="AS1" s="114"/>
      <c r="AU1" s="113" t="s">
        <v>10</v>
      </c>
      <c r="AV1" s="113"/>
      <c r="AW1" s="113"/>
      <c r="AX1" s="113"/>
      <c r="AZ1" s="99" t="s">
        <v>36</v>
      </c>
      <c r="BA1" s="99"/>
      <c r="BB1" s="99"/>
      <c r="BC1" s="99"/>
      <c r="BE1" s="96" t="s">
        <v>40</v>
      </c>
      <c r="BF1" s="97"/>
      <c r="BG1" s="97"/>
      <c r="BH1" s="98"/>
    </row>
    <row r="2" spans="1:60" ht="18" customHeight="1" thickBot="1" x14ac:dyDescent="0.6">
      <c r="A2" s="2" t="s">
        <v>0</v>
      </c>
      <c r="B2" s="65"/>
      <c r="C2" s="65"/>
      <c r="D2" s="65"/>
      <c r="E2" s="66"/>
      <c r="F2" s="110"/>
      <c r="G2" s="112"/>
      <c r="H2" s="61"/>
      <c r="I2" s="61"/>
      <c r="J2" s="61"/>
      <c r="K2" s="62"/>
      <c r="L2" s="2" t="s">
        <v>0</v>
      </c>
      <c r="M2" s="69" t="s">
        <v>0</v>
      </c>
      <c r="N2" s="72">
        <v>1</v>
      </c>
      <c r="P2" s="44" t="s">
        <v>11</v>
      </c>
      <c r="Q2" s="45" t="s">
        <v>12</v>
      </c>
      <c r="R2" s="46" t="s">
        <v>20</v>
      </c>
      <c r="S2" s="47" t="s">
        <v>13</v>
      </c>
      <c r="W2" s="100" t="s">
        <v>2</v>
      </c>
      <c r="X2" s="100"/>
      <c r="AB2" s="100" t="s">
        <v>2</v>
      </c>
      <c r="AC2" s="100"/>
      <c r="AG2" s="100" t="s">
        <v>2</v>
      </c>
      <c r="AH2" s="100"/>
      <c r="AL2" s="100" t="s">
        <v>2</v>
      </c>
      <c r="AM2" s="100"/>
      <c r="AQ2" s="100" t="s">
        <v>2</v>
      </c>
      <c r="AR2" s="100"/>
      <c r="AV2" s="100" t="s">
        <v>2</v>
      </c>
      <c r="AW2" s="100"/>
      <c r="BA2" s="100" t="s">
        <v>2</v>
      </c>
      <c r="BB2" s="100"/>
      <c r="BE2" s="74" t="s">
        <v>39</v>
      </c>
      <c r="BF2" s="83" t="s">
        <v>37</v>
      </c>
      <c r="BG2" s="83" t="s">
        <v>38</v>
      </c>
      <c r="BH2" s="75" t="s">
        <v>44</v>
      </c>
    </row>
    <row r="3" spans="1:60" ht="18" customHeight="1" thickBot="1" x14ac:dyDescent="0.6">
      <c r="A3" s="2" t="s">
        <v>0</v>
      </c>
      <c r="B3" s="65"/>
      <c r="C3" s="65"/>
      <c r="D3" s="65"/>
      <c r="E3" s="66"/>
      <c r="F3" s="110"/>
      <c r="G3" s="112"/>
      <c r="H3" s="61"/>
      <c r="I3" s="61"/>
      <c r="J3" s="61"/>
      <c r="K3" s="62"/>
      <c r="L3" s="2" t="s">
        <v>0</v>
      </c>
      <c r="M3" s="69" t="s">
        <v>0</v>
      </c>
      <c r="N3" s="71" t="s">
        <v>34</v>
      </c>
      <c r="P3" s="48">
        <v>5</v>
      </c>
      <c r="Q3" s="49">
        <v>3</v>
      </c>
      <c r="R3" s="50">
        <v>3</v>
      </c>
      <c r="S3" s="51">
        <v>1</v>
      </c>
      <c r="V3" s="4">
        <v>0</v>
      </c>
      <c r="W3" s="5">
        <v>0</v>
      </c>
      <c r="X3" s="5">
        <v>0</v>
      </c>
      <c r="Y3" s="6">
        <v>0</v>
      </c>
      <c r="AA3" s="4">
        <v>0</v>
      </c>
      <c r="AB3" s="5">
        <v>0</v>
      </c>
      <c r="AC3" s="15">
        <v>1</v>
      </c>
      <c r="AD3" s="6">
        <v>0</v>
      </c>
      <c r="AF3" s="4">
        <v>0</v>
      </c>
      <c r="AG3">
        <v>0</v>
      </c>
      <c r="AH3" s="5">
        <v>0</v>
      </c>
      <c r="AI3" s="6">
        <v>0</v>
      </c>
      <c r="AK3" s="4">
        <v>0</v>
      </c>
      <c r="AL3" s="5">
        <v>0</v>
      </c>
      <c r="AM3" s="5">
        <v>0</v>
      </c>
      <c r="AN3" s="6">
        <v>0</v>
      </c>
      <c r="AP3" s="4">
        <v>0</v>
      </c>
      <c r="AQ3" s="5">
        <v>0</v>
      </c>
      <c r="AR3" s="5">
        <v>0</v>
      </c>
      <c r="AS3" s="6">
        <v>0</v>
      </c>
      <c r="AU3" s="4">
        <v>0</v>
      </c>
      <c r="AV3" s="5">
        <v>0</v>
      </c>
      <c r="AW3" s="5">
        <v>0</v>
      </c>
      <c r="AX3" s="6">
        <v>0</v>
      </c>
      <c r="AZ3" s="4">
        <v>0</v>
      </c>
      <c r="BA3" s="5">
        <v>0</v>
      </c>
      <c r="BB3" s="5">
        <v>0</v>
      </c>
      <c r="BC3" s="6">
        <v>0</v>
      </c>
      <c r="BE3" s="90">
        <v>1</v>
      </c>
      <c r="BF3" s="84" t="str">
        <f>'Score List'!G3</f>
        <v>Will M.</v>
      </c>
      <c r="BG3" s="93">
        <f>'Score List'!H3</f>
        <v>366982</v>
      </c>
      <c r="BH3" s="85">
        <f>'Score List'!I3</f>
        <v>43697.389861111114</v>
      </c>
    </row>
    <row r="4" spans="1:60" ht="18" customHeight="1" thickBot="1" x14ac:dyDescent="0.6">
      <c r="A4" s="2" t="s">
        <v>0</v>
      </c>
      <c r="B4" s="65"/>
      <c r="C4" s="65"/>
      <c r="D4" s="65"/>
      <c r="E4" s="66"/>
      <c r="F4" s="110"/>
      <c r="G4" s="112"/>
      <c r="H4" s="61"/>
      <c r="I4" s="61"/>
      <c r="J4" s="61"/>
      <c r="K4" s="62"/>
      <c r="L4" s="2" t="s">
        <v>0</v>
      </c>
      <c r="M4" s="69" t="s">
        <v>0</v>
      </c>
      <c r="N4" s="72">
        <v>1853</v>
      </c>
      <c r="P4" s="100" t="s">
        <v>14</v>
      </c>
      <c r="Q4" s="100"/>
      <c r="R4" s="100"/>
      <c r="S4" s="100"/>
      <c r="V4" s="7">
        <v>0</v>
      </c>
      <c r="W4" s="1">
        <v>0</v>
      </c>
      <c r="X4" s="1">
        <v>0</v>
      </c>
      <c r="Y4" s="8">
        <v>0</v>
      </c>
      <c r="AA4" s="7">
        <v>0</v>
      </c>
      <c r="AB4" s="1">
        <v>0</v>
      </c>
      <c r="AC4" s="16">
        <v>1</v>
      </c>
      <c r="AD4" s="8">
        <v>0</v>
      </c>
      <c r="AF4" s="7">
        <v>0</v>
      </c>
      <c r="AG4" s="24">
        <v>1</v>
      </c>
      <c r="AH4" s="1">
        <v>0</v>
      </c>
      <c r="AI4" s="8">
        <v>0</v>
      </c>
      <c r="AK4" s="7">
        <v>0</v>
      </c>
      <c r="AL4" s="1">
        <v>0</v>
      </c>
      <c r="AM4" s="28">
        <v>1</v>
      </c>
      <c r="AN4" s="8">
        <v>0</v>
      </c>
      <c r="AP4" s="7">
        <v>0</v>
      </c>
      <c r="AQ4" s="1">
        <v>0</v>
      </c>
      <c r="AR4" s="1">
        <v>0</v>
      </c>
      <c r="AS4" s="8">
        <v>0</v>
      </c>
      <c r="AU4" s="7">
        <v>0</v>
      </c>
      <c r="AV4" s="1">
        <v>0</v>
      </c>
      <c r="AW4" s="1">
        <v>0</v>
      </c>
      <c r="AX4" s="8">
        <v>0</v>
      </c>
      <c r="AZ4" s="7">
        <v>0</v>
      </c>
      <c r="BA4" s="1">
        <v>0</v>
      </c>
      <c r="BB4" s="1">
        <v>0</v>
      </c>
      <c r="BC4" s="8">
        <v>0</v>
      </c>
      <c r="BE4" s="91">
        <v>2</v>
      </c>
      <c r="BF4" s="86" t="str">
        <f ca="1">'Score List'!G4</f>
        <v>Will M.</v>
      </c>
      <c r="BG4" s="94">
        <f ca="1">'Score List'!H4</f>
        <v>223661</v>
      </c>
      <c r="BH4" s="87">
        <f ca="1">'Score List'!I4</f>
        <v>43696.581122685187</v>
      </c>
    </row>
    <row r="5" spans="1:60" ht="18" customHeight="1" x14ac:dyDescent="0.55000000000000004">
      <c r="A5" s="2" t="s">
        <v>0</v>
      </c>
      <c r="B5" s="4" t="str">
        <f ca="1">IF(AND(AND(COLUMN()&gt;$P$3-1,COLUMN()&lt;$P$3+4),AND(ROW()&gt;$Q$3-1,ROW()&lt;$Q$3+4)),IF(INDIRECT("R"&amp;ROW()-$Q$3+$S$3*6-3&amp;"C"&amp;COLUMN()-$P$3+$R$3*5+17,FALSE)=1,$R$3+2,""),"")</f>
        <v/>
      </c>
      <c r="C5" s="5" t="str">
        <f t="shared" ref="C5:K5" ca="1" si="0">IF(AND(AND(COLUMN()&gt;$P$3-1,COLUMN()&lt;$P$3+4),AND(ROW()&gt;$Q$3-1,ROW()&lt;$Q$3+4)),IF(INDIRECT("R"&amp;ROW()-$Q$3+$S$3*6-3&amp;"C"&amp;COLUMN()-$P$3+$R$3*5+17,FALSE)=1,$R$3+2,""),"")</f>
        <v/>
      </c>
      <c r="D5" s="5" t="str">
        <f t="shared" ca="1" si="0"/>
        <v/>
      </c>
      <c r="E5" s="5" t="str">
        <f t="shared" ca="1" si="0"/>
        <v/>
      </c>
      <c r="F5" s="5">
        <f t="shared" ca="1" si="0"/>
        <v>5</v>
      </c>
      <c r="G5" s="5" t="str">
        <f t="shared" ca="1" si="0"/>
        <v/>
      </c>
      <c r="H5" s="5" t="str">
        <f t="shared" ca="1" si="0"/>
        <v/>
      </c>
      <c r="I5" s="5" t="str">
        <f t="shared" ca="1" si="0"/>
        <v/>
      </c>
      <c r="J5" s="5" t="str">
        <f t="shared" ca="1" si="0"/>
        <v/>
      </c>
      <c r="K5" s="6" t="str">
        <f t="shared" ca="1" si="0"/>
        <v/>
      </c>
      <c r="L5" s="2" t="s">
        <v>0</v>
      </c>
      <c r="M5" s="69" t="s">
        <v>0</v>
      </c>
      <c r="O5" s="38" t="str">
        <f t="shared" ref="O5:T9" ca="1" si="1">_xlfn.IFS(AND(INDIRECT("R"&amp;ROW()-5+6*$S$3-3&amp;"C"&amp;COLUMN()-16+5*$R$3+17,FALSE)=1,OR(AND(INDIRECT("R"&amp;ROW()-5+$Q$3&amp;"C"&amp;COLUMN()-16+$P$3,FALSE)&gt;12,NOT(INDIRECT("R"&amp;ROW()-5+$Q$3&amp;"C"&amp;COLUMN()-16+$P$3,FALSE)="")),INDIRECT("R"&amp;ROW()-5+$Q$3&amp;"C"&amp;COLUMN()-16+$P$3,FALSE)="tetris")),3,TRUE,IF(INDIRECT("R"&amp;ROW()-5+6*$S$3-3&amp;"C"&amp;COLUMN()-16+5*$R$3+17,FALSE)=1,1,"")&amp;IF(AND(ISNUMBER(INDIRECT("R"&amp;ROW()-5+$Q$3&amp;"C"&amp;COLUMN()-16+$P$3,FALSE)),INDIRECT("R"&amp;ROW()-5+$Q$3&amp;"C"&amp;COLUMN()-16+$P$3,FALSE)&gt;12),2,""))</f>
        <v/>
      </c>
      <c r="P5" s="4" t="str">
        <f t="shared" ca="1" si="1"/>
        <v/>
      </c>
      <c r="Q5" s="5" t="str">
        <f t="shared" ca="1" si="1"/>
        <v/>
      </c>
      <c r="R5" s="5" t="str">
        <f t="shared" ca="1" si="1"/>
        <v/>
      </c>
      <c r="S5" s="6" t="str">
        <f t="shared" ca="1" si="1"/>
        <v/>
      </c>
      <c r="T5" s="70" t="str">
        <f t="shared" ca="1" si="1"/>
        <v/>
      </c>
      <c r="V5" s="7">
        <v>0</v>
      </c>
      <c r="W5" s="11">
        <v>1</v>
      </c>
      <c r="X5" s="12">
        <v>1</v>
      </c>
      <c r="Y5" s="8">
        <v>0</v>
      </c>
      <c r="AA5" s="7">
        <v>0</v>
      </c>
      <c r="AB5" s="1">
        <v>0</v>
      </c>
      <c r="AC5" s="16">
        <v>1</v>
      </c>
      <c r="AD5" s="8">
        <v>0</v>
      </c>
      <c r="AF5" s="7">
        <v>0</v>
      </c>
      <c r="AG5" s="24">
        <v>1</v>
      </c>
      <c r="AH5" s="1">
        <v>0</v>
      </c>
      <c r="AI5" s="8">
        <v>0</v>
      </c>
      <c r="AK5" s="7">
        <v>0</v>
      </c>
      <c r="AL5" s="1">
        <v>0</v>
      </c>
      <c r="AM5" s="28">
        <v>1</v>
      </c>
      <c r="AN5" s="8">
        <v>0</v>
      </c>
      <c r="AP5" s="7">
        <v>0</v>
      </c>
      <c r="AQ5" s="32">
        <v>1</v>
      </c>
      <c r="AR5" s="32">
        <v>1</v>
      </c>
      <c r="AS5" s="8">
        <v>0</v>
      </c>
      <c r="AU5" s="7">
        <v>0</v>
      </c>
      <c r="AV5" s="35">
        <v>1</v>
      </c>
      <c r="AW5" s="35">
        <v>1</v>
      </c>
      <c r="AX5" s="8">
        <v>0</v>
      </c>
      <c r="AZ5" s="7">
        <v>0</v>
      </c>
      <c r="BA5" s="76">
        <v>1</v>
      </c>
      <c r="BB5" s="1">
        <v>0</v>
      </c>
      <c r="BC5" s="8">
        <v>0</v>
      </c>
      <c r="BE5" s="91">
        <v>3</v>
      </c>
      <c r="BF5" s="86" t="str">
        <f ca="1">'Score List'!G5</f>
        <v>Will M.</v>
      </c>
      <c r="BG5" s="94">
        <f ca="1">'Score List'!H5</f>
        <v>134961</v>
      </c>
      <c r="BH5" s="87">
        <f ca="1">'Score List'!I5</f>
        <v>43697.358888888892</v>
      </c>
    </row>
    <row r="6" spans="1:60" ht="18" customHeight="1" thickBot="1" x14ac:dyDescent="0.6">
      <c r="A6" s="2" t="s">
        <v>0</v>
      </c>
      <c r="B6" s="7" t="str">
        <f ca="1">IF(AND(AND(COLUMN()&gt;$P$3-1,COLUMN()&lt;$P$3+4),AND(ROW()&gt;$Q$3-1,ROW()&lt;$Q$3+4)),IF(INDIRECT("R"&amp;ROW()-$Q$3+$S$3*6-3&amp;"C"&amp;COLUMN()-$P$3+$R$3*5+17,FALSE)=1,$R$3+2,""),"")</f>
        <v/>
      </c>
      <c r="C6" s="1" t="str">
        <f t="shared" ref="C5:K6" ca="1" si="2">IF(AND(AND(COLUMN()&gt;$P$3-1,COLUMN()&lt;$P$3+4),AND(ROW()&gt;$Q$3-1,ROW()&lt;$Q$3+4)),IF(INDIRECT("R"&amp;ROW()-$Q$3+$S$3*6-3&amp;"C"&amp;COLUMN()-$P$3+$R$3*5+17,FALSE)=1,$R$3+2,""),"")</f>
        <v/>
      </c>
      <c r="D6" s="1" t="str">
        <f t="shared" ca="1" si="2"/>
        <v/>
      </c>
      <c r="E6" s="1" t="str">
        <f t="shared" ca="1" si="2"/>
        <v/>
      </c>
      <c r="F6" s="1">
        <f t="shared" ca="1" si="2"/>
        <v>5</v>
      </c>
      <c r="G6" s="1">
        <f t="shared" ca="1" si="2"/>
        <v>5</v>
      </c>
      <c r="H6" s="1" t="str">
        <f t="shared" ca="1" si="2"/>
        <v/>
      </c>
      <c r="I6" s="1" t="str">
        <f t="shared" ca="1" si="2"/>
        <v/>
      </c>
      <c r="J6" s="1" t="str">
        <f t="shared" ca="1" si="2"/>
        <v/>
      </c>
      <c r="K6" s="8" t="str">
        <f t="shared" ca="1" si="2"/>
        <v/>
      </c>
      <c r="L6" s="2" t="s">
        <v>0</v>
      </c>
      <c r="M6" s="69" t="s">
        <v>0</v>
      </c>
      <c r="O6" s="39" t="str">
        <f t="shared" ref="O6:T6" ca="1" si="3">_xlfn.IFS(AND(INDIRECT("R"&amp;ROW()-5+6*$S$3-3&amp;"C"&amp;COLUMN()-16+5*$R$3+17,FALSE)=1,OR(AND(INDIRECT("R"&amp;ROW()-5+$Q$3&amp;"C"&amp;COLUMN()-16+$P$3,FALSE)&gt;12,NOT(INDIRECT("R"&amp;ROW()-5+$Q$3&amp;"C"&amp;COLUMN()-16+$P$3,FALSE)="")),INDIRECT("R"&amp;ROW()-5+$Q$3&amp;"C"&amp;COLUMN()-16+$P$3,FALSE)="tetris")),3,TRUE,IF(INDIRECT("R"&amp;ROW()-5+6*$S$3-3&amp;"C"&amp;COLUMN()-16+5*$R$3+17,FALSE)=1,1,"")&amp;IF(AND(ISNUMBER(INDIRECT("R"&amp;ROW()-5+$Q$3&amp;"C"&amp;COLUMN()-16+$P$3,FALSE)),INDIRECT("R"&amp;ROW()-5+$Q$3&amp;"C"&amp;COLUMN()-16+$P$3,FALSE)&gt;12),2,""))</f>
        <v/>
      </c>
      <c r="P6" s="7" t="str">
        <f t="shared" ca="1" si="3"/>
        <v/>
      </c>
      <c r="Q6" s="1" t="str">
        <f t="shared" ca="1" si="3"/>
        <v>1</v>
      </c>
      <c r="R6" s="1" t="str">
        <f t="shared" ca="1" si="3"/>
        <v/>
      </c>
      <c r="S6" s="8" t="str">
        <f t="shared" ca="1" si="3"/>
        <v/>
      </c>
      <c r="T6" s="43" t="str">
        <f t="shared" ca="1" si="3"/>
        <v/>
      </c>
      <c r="V6" s="9">
        <v>0</v>
      </c>
      <c r="W6" s="13">
        <v>1</v>
      </c>
      <c r="X6" s="14">
        <v>1</v>
      </c>
      <c r="Y6" s="10">
        <v>0</v>
      </c>
      <c r="AA6" s="9">
        <v>0</v>
      </c>
      <c r="AB6" s="3">
        <v>0</v>
      </c>
      <c r="AC6" s="17">
        <v>1</v>
      </c>
      <c r="AD6" s="10">
        <v>0</v>
      </c>
      <c r="AF6" s="9">
        <v>0</v>
      </c>
      <c r="AG6" s="24">
        <v>1</v>
      </c>
      <c r="AH6" s="24">
        <v>1</v>
      </c>
      <c r="AI6" s="10">
        <v>0</v>
      </c>
      <c r="AK6" s="9">
        <v>0</v>
      </c>
      <c r="AL6" s="29">
        <v>1</v>
      </c>
      <c r="AM6" s="29">
        <v>1</v>
      </c>
      <c r="AN6" s="10">
        <v>0</v>
      </c>
      <c r="AP6" s="9">
        <v>0</v>
      </c>
      <c r="AQ6" s="3">
        <v>0</v>
      </c>
      <c r="AR6" s="33">
        <v>1</v>
      </c>
      <c r="AS6" s="34">
        <v>1</v>
      </c>
      <c r="AU6" s="37">
        <v>1</v>
      </c>
      <c r="AV6" s="36">
        <v>1</v>
      </c>
      <c r="AW6" s="3">
        <v>0</v>
      </c>
      <c r="AX6" s="10">
        <v>0</v>
      </c>
      <c r="AZ6" s="79">
        <v>1</v>
      </c>
      <c r="BA6" s="77">
        <v>1</v>
      </c>
      <c r="BB6" s="77">
        <v>1</v>
      </c>
      <c r="BC6" s="10">
        <v>0</v>
      </c>
      <c r="BE6" s="91">
        <v>4</v>
      </c>
      <c r="BF6" s="86" t="str">
        <f ca="1">'Score List'!G6</f>
        <v>Will M.</v>
      </c>
      <c r="BG6" s="94">
        <f ca="1">'Score List'!H6</f>
        <v>72867</v>
      </c>
      <c r="BH6" s="87">
        <f ca="1">'Score List'!I6</f>
        <v>43689.904189814813</v>
      </c>
    </row>
    <row r="7" spans="1:60" ht="18" customHeight="1" x14ac:dyDescent="0.55000000000000004">
      <c r="A7" s="2" t="s">
        <v>0</v>
      </c>
      <c r="B7" s="7" t="str">
        <f ca="1">IF(AND(AND(COLUMN()&gt;$P$3-1,COLUMN()&lt;$P$3+4),AND(ROW()&gt;$Q$3-1,ROW()&lt;$Q$3+4)),IF(INDIRECT("R"&amp;ROW()-$Q$3+$S$3*6-3&amp;"C"&amp;COLUMN()-$P$3+$R$3*5+17,FALSE)=1,$R$3+2,""),"")</f>
        <v/>
      </c>
      <c r="C7" s="1" t="str">
        <f t="shared" ref="C5:K7" ca="1" si="4">IF(AND(AND(COLUMN()&gt;$P$3-1,COLUMN()&lt;$P$3+4),AND(ROW()&gt;$Q$3-1,ROW()&lt;$Q$3+4)),IF(INDIRECT("R"&amp;ROW()-$Q$3+$S$3*6-3&amp;"C"&amp;COLUMN()-$P$3+$R$3*5+17,FALSE)=1,$R$3+2,""),"")</f>
        <v/>
      </c>
      <c r="D7" s="1" t="str">
        <f t="shared" ca="1" si="4"/>
        <v/>
      </c>
      <c r="E7" s="1" t="str">
        <f t="shared" ca="1" si="4"/>
        <v/>
      </c>
      <c r="F7" s="1" t="str">
        <f t="shared" ca="1" si="4"/>
        <v/>
      </c>
      <c r="G7" s="1" t="str">
        <f t="shared" ca="1" si="4"/>
        <v/>
      </c>
      <c r="H7" s="1" t="str">
        <f t="shared" ca="1" si="4"/>
        <v/>
      </c>
      <c r="I7" s="1" t="str">
        <f t="shared" ca="1" si="4"/>
        <v/>
      </c>
      <c r="J7" s="1" t="str">
        <f t="shared" ca="1" si="4"/>
        <v/>
      </c>
      <c r="K7" s="8" t="str">
        <f t="shared" ca="1" si="4"/>
        <v/>
      </c>
      <c r="L7" s="2" t="s">
        <v>0</v>
      </c>
      <c r="M7" s="69" t="s">
        <v>0</v>
      </c>
      <c r="O7" s="39" t="str">
        <f t="shared" ca="1" si="1"/>
        <v/>
      </c>
      <c r="P7" s="7" t="str">
        <f t="shared" ca="1" si="1"/>
        <v/>
      </c>
      <c r="Q7" s="1" t="str">
        <f t="shared" ca="1" si="1"/>
        <v>1</v>
      </c>
      <c r="R7" s="1" t="str">
        <f t="shared" ca="1" si="1"/>
        <v/>
      </c>
      <c r="S7" s="8" t="str">
        <f t="shared" ca="1" si="1"/>
        <v/>
      </c>
      <c r="T7" s="43" t="str">
        <f t="shared" ca="1" si="1"/>
        <v/>
      </c>
      <c r="BE7" s="91">
        <v>5</v>
      </c>
      <c r="BF7" s="86" t="str">
        <f ca="1">'Score List'!G7</f>
        <v>Will M.</v>
      </c>
      <c r="BG7" s="94">
        <f ca="1">'Score List'!H7</f>
        <v>18796</v>
      </c>
      <c r="BH7" s="87">
        <f ca="1">'Score List'!I7</f>
        <v>43696.597777777781</v>
      </c>
    </row>
    <row r="8" spans="1:60" ht="18" customHeight="1" thickBot="1" x14ac:dyDescent="0.6">
      <c r="A8" s="2" t="s">
        <v>0</v>
      </c>
      <c r="B8" s="7" t="str">
        <f ca="1">IF(AND(AND(COLUMN()&gt;$P$3-1,COLUMN()&lt;$P$3+4),AND(ROW()&gt;$Q$3-1,ROW()&lt;$Q$3+4)),IF(INDIRECT("R"&amp;ROW()-$Q$3+$S$3*6-3&amp;"C"&amp;COLUMN()-$P$3+$R$3*5+17,FALSE)=1,$R$3+2,""),"")</f>
        <v/>
      </c>
      <c r="C8" s="1" t="str">
        <f t="shared" ref="C5:K8" ca="1" si="5">IF(AND(AND(COLUMN()&gt;$P$3-1,COLUMN()&lt;$P$3+4),AND(ROW()&gt;$Q$3-1,ROW()&lt;$Q$3+4)),IF(INDIRECT("R"&amp;ROW()-$Q$3+$S$3*6-3&amp;"C"&amp;COLUMN()-$P$3+$R$3*5+17,FALSE)=1,$R$3+2,""),"")</f>
        <v/>
      </c>
      <c r="D8" s="1" t="str">
        <f t="shared" ca="1" si="5"/>
        <v/>
      </c>
      <c r="E8" s="1" t="str">
        <f t="shared" ca="1" si="5"/>
        <v/>
      </c>
      <c r="F8" s="1" t="str">
        <f t="shared" ca="1" si="5"/>
        <v/>
      </c>
      <c r="G8" s="1" t="str">
        <f t="shared" ca="1" si="5"/>
        <v/>
      </c>
      <c r="H8" s="1" t="str">
        <f t="shared" ca="1" si="5"/>
        <v/>
      </c>
      <c r="I8" s="1" t="str">
        <f t="shared" ca="1" si="5"/>
        <v/>
      </c>
      <c r="J8" s="1" t="str">
        <f t="shared" ca="1" si="5"/>
        <v/>
      </c>
      <c r="K8" s="8" t="str">
        <f t="shared" ca="1" si="5"/>
        <v/>
      </c>
      <c r="L8" s="2" t="s">
        <v>0</v>
      </c>
      <c r="M8" s="69" t="s">
        <v>0</v>
      </c>
      <c r="O8" s="39" t="str">
        <f t="shared" ca="1" si="1"/>
        <v/>
      </c>
      <c r="P8" s="9" t="str">
        <f t="shared" ca="1" si="1"/>
        <v/>
      </c>
      <c r="Q8" s="3" t="str">
        <f t="shared" ca="1" si="1"/>
        <v>1</v>
      </c>
      <c r="R8" s="3" t="str">
        <f t="shared" ca="1" si="1"/>
        <v>1</v>
      </c>
      <c r="S8" s="10" t="str">
        <f t="shared" ca="1" si="1"/>
        <v/>
      </c>
      <c r="T8" s="43" t="str">
        <f t="shared" ca="1" si="1"/>
        <v/>
      </c>
      <c r="W8" s="100" t="s">
        <v>3</v>
      </c>
      <c r="X8" s="100"/>
      <c r="AB8" s="100" t="s">
        <v>3</v>
      </c>
      <c r="AC8" s="100"/>
      <c r="AG8" s="100" t="s">
        <v>3</v>
      </c>
      <c r="AH8" s="100"/>
      <c r="AL8" s="100" t="s">
        <v>3</v>
      </c>
      <c r="AM8" s="100"/>
      <c r="AQ8" s="100" t="s">
        <v>3</v>
      </c>
      <c r="AR8" s="100"/>
      <c r="AV8" s="100" t="s">
        <v>3</v>
      </c>
      <c r="AW8" s="100"/>
      <c r="BA8" s="100" t="s">
        <v>3</v>
      </c>
      <c r="BB8" s="100"/>
      <c r="BE8" s="91">
        <v>6</v>
      </c>
      <c r="BF8" s="86" t="str">
        <f ca="1">'Score List'!G8</f>
        <v/>
      </c>
      <c r="BG8" s="94" t="str">
        <f ca="1">'Score List'!H8</f>
        <v/>
      </c>
      <c r="BH8" s="87" t="str">
        <f ca="1">'Score List'!I8</f>
        <v/>
      </c>
    </row>
    <row r="9" spans="1:60" ht="18" customHeight="1" thickBot="1" x14ac:dyDescent="0.6">
      <c r="A9" s="2" t="s">
        <v>0</v>
      </c>
      <c r="B9" s="7" t="str">
        <f ca="1">IF(AND(AND(COLUMN()&gt;$P$3-1,COLUMN()&lt;$P$3+4),AND(ROW()&gt;$Q$3-1,ROW()&lt;$Q$3+4)),IF(INDIRECT("R"&amp;ROW()-$Q$3+$S$3*6-3&amp;"C"&amp;COLUMN()-$P$3+$R$3*5+17,FALSE)=1,$R$3+2,""),"")</f>
        <v/>
      </c>
      <c r="C9" s="1" t="str">
        <f t="shared" ref="C5:K9" ca="1" si="6">IF(AND(AND(COLUMN()&gt;$P$3-1,COLUMN()&lt;$P$3+4),AND(ROW()&gt;$Q$3-1,ROW()&lt;$Q$3+4)),IF(INDIRECT("R"&amp;ROW()-$Q$3+$S$3*6-3&amp;"C"&amp;COLUMN()-$P$3+$R$3*5+17,FALSE)=1,$R$3+2,""),"")</f>
        <v/>
      </c>
      <c r="D9" s="1" t="str">
        <f t="shared" ca="1" si="6"/>
        <v/>
      </c>
      <c r="E9" s="1" t="str">
        <f t="shared" ca="1" si="6"/>
        <v/>
      </c>
      <c r="F9" s="1" t="str">
        <f t="shared" ca="1" si="6"/>
        <v/>
      </c>
      <c r="G9" s="1" t="str">
        <f t="shared" ca="1" si="6"/>
        <v/>
      </c>
      <c r="H9" s="1" t="str">
        <f t="shared" ca="1" si="6"/>
        <v/>
      </c>
      <c r="I9" s="1" t="str">
        <f t="shared" ca="1" si="6"/>
        <v/>
      </c>
      <c r="J9" s="1" t="str">
        <f t="shared" ca="1" si="6"/>
        <v/>
      </c>
      <c r="K9" s="8" t="str">
        <f t="shared" ca="1" si="6"/>
        <v/>
      </c>
      <c r="L9" s="2" t="s">
        <v>0</v>
      </c>
      <c r="M9" s="69" t="s">
        <v>0</v>
      </c>
      <c r="O9" s="40" t="str">
        <f t="shared" ca="1" si="1"/>
        <v/>
      </c>
      <c r="P9" s="41" t="str">
        <f t="shared" ca="1" si="1"/>
        <v/>
      </c>
      <c r="Q9" s="41" t="str">
        <f ca="1">_xlfn.IFS(AND(INDIRECT("R"&amp;ROW()-5+6*$S$3-3&amp;"C"&amp;COLUMN()-16+5*$R$3+17,FALSE)=1,OR(AND(INDIRECT("R"&amp;ROW()-5+$Q$3&amp;"C"&amp;COLUMN()-16+$P$3,FALSE)&gt;12,NOT(INDIRECT("R"&amp;ROW()-5+$Q$3&amp;"C"&amp;COLUMN()-16+$P$3,FALSE)="")),INDIRECT("R"&amp;ROW()-5+$Q$3&amp;"C"&amp;COLUMN()-16+$P$3,FALSE)="tetris")),3,TRUE,IF(INDIRECT("R"&amp;ROW()-5+6*$S$3-3&amp;"C"&amp;COLUMN()-16+5*$R$3+17,FALSE)=1,1,"")&amp;IF(AND(ISNUMBER(INDIRECT("R"&amp;ROW()-5+$Q$3&amp;"C"&amp;COLUMN()-16+$P$3,FALSE)),INDIRECT("R"&amp;ROW()-5+$Q$3&amp;"C"&amp;COLUMN()-16+$P$3,FALSE)&gt;12),2,""))</f>
        <v/>
      </c>
      <c r="R9" s="41" t="str">
        <f t="shared" ca="1" si="1"/>
        <v/>
      </c>
      <c r="S9" s="41" t="str">
        <f t="shared" ca="1" si="1"/>
        <v/>
      </c>
      <c r="T9" s="42" t="str">
        <f t="shared" ca="1" si="1"/>
        <v/>
      </c>
      <c r="V9" s="4">
        <v>0</v>
      </c>
      <c r="W9" s="5">
        <v>0</v>
      </c>
      <c r="X9" s="5">
        <v>0</v>
      </c>
      <c r="Y9" s="6">
        <v>0</v>
      </c>
      <c r="AA9" s="4">
        <v>0</v>
      </c>
      <c r="AB9" s="5">
        <v>0</v>
      </c>
      <c r="AC9" s="5">
        <v>0</v>
      </c>
      <c r="AD9" s="6">
        <v>0</v>
      </c>
      <c r="AF9" s="4">
        <v>0</v>
      </c>
      <c r="AG9" s="5">
        <v>0</v>
      </c>
      <c r="AH9" s="5">
        <v>0</v>
      </c>
      <c r="AI9" s="6">
        <v>0</v>
      </c>
      <c r="AK9" s="4">
        <v>0</v>
      </c>
      <c r="AL9" s="5">
        <v>0</v>
      </c>
      <c r="AM9" s="5">
        <v>0</v>
      </c>
      <c r="AN9" s="6">
        <v>0</v>
      </c>
      <c r="AP9" s="4">
        <v>0</v>
      </c>
      <c r="AQ9" s="5">
        <v>0</v>
      </c>
      <c r="AR9" s="5">
        <v>0</v>
      </c>
      <c r="AS9" s="6">
        <v>0</v>
      </c>
      <c r="AU9" s="4">
        <v>0</v>
      </c>
      <c r="AV9" s="5">
        <v>0</v>
      </c>
      <c r="AW9" s="5">
        <v>0</v>
      </c>
      <c r="AX9" s="6">
        <v>0</v>
      </c>
      <c r="AZ9" s="4">
        <v>0</v>
      </c>
      <c r="BA9" s="5">
        <v>0</v>
      </c>
      <c r="BB9" s="5">
        <v>0</v>
      </c>
      <c r="BC9" s="6">
        <v>0</v>
      </c>
      <c r="BE9" s="91">
        <v>7</v>
      </c>
      <c r="BF9" s="86" t="str">
        <f ca="1">'Score List'!G9</f>
        <v/>
      </c>
      <c r="BG9" s="94" t="str">
        <f ca="1">'Score List'!H9</f>
        <v/>
      </c>
      <c r="BH9" s="87" t="str">
        <f ca="1">'Score List'!I9</f>
        <v/>
      </c>
    </row>
    <row r="10" spans="1:60" ht="18" customHeight="1" thickBot="1" x14ac:dyDescent="0.6">
      <c r="A10" s="2" t="s">
        <v>0</v>
      </c>
      <c r="B10" s="7" t="str">
        <f ca="1">IF(AND(AND(COLUMN()&gt;$P$3-1,COLUMN()&lt;$P$3+4),AND(ROW()&gt;$Q$3-1,ROW()&lt;$Q$3+4)),IF(INDIRECT("R"&amp;ROW()-$Q$3+$S$3*6-3&amp;"C"&amp;COLUMN()-$P$3+$R$3*5+17,FALSE)=1,$R$3+2,""),"")</f>
        <v/>
      </c>
      <c r="C10" s="1" t="str">
        <f t="shared" ref="C6:K10" ca="1" si="7">IF(AND(AND(COLUMN()&gt;$P$3-1,COLUMN()&lt;$P$3+4),AND(ROW()&gt;$Q$3-1,ROW()&lt;$Q$3+4)),IF(INDIRECT("R"&amp;ROW()-$Q$3+$S$3*6-3&amp;"C"&amp;COLUMN()-$P$3+$R$3*5+17,FALSE)=1,$R$3+2,""),"")</f>
        <v/>
      </c>
      <c r="D10" s="1" t="str">
        <f t="shared" ca="1" si="7"/>
        <v/>
      </c>
      <c r="E10" s="1" t="str">
        <f t="shared" ca="1" si="7"/>
        <v/>
      </c>
      <c r="F10" s="1" t="str">
        <f t="shared" ca="1" si="7"/>
        <v/>
      </c>
      <c r="G10" s="1" t="str">
        <f t="shared" ca="1" si="7"/>
        <v/>
      </c>
      <c r="H10" s="1" t="str">
        <f t="shared" ca="1" si="7"/>
        <v/>
      </c>
      <c r="I10" s="1" t="str">
        <f t="shared" ca="1" si="7"/>
        <v/>
      </c>
      <c r="J10" s="1" t="str">
        <f t="shared" ca="1" si="7"/>
        <v/>
      </c>
      <c r="K10" s="8" t="str">
        <f t="shared" ca="1" si="7"/>
        <v/>
      </c>
      <c r="L10" s="2" t="s">
        <v>0</v>
      </c>
      <c r="M10" s="69" t="s">
        <v>0</v>
      </c>
      <c r="V10" s="7">
        <v>0</v>
      </c>
      <c r="W10" s="1">
        <v>0</v>
      </c>
      <c r="X10" s="1">
        <v>0</v>
      </c>
      <c r="Y10" s="8">
        <v>0</v>
      </c>
      <c r="AA10" s="7">
        <v>0</v>
      </c>
      <c r="AB10" s="1">
        <v>0</v>
      </c>
      <c r="AC10" s="1">
        <v>0</v>
      </c>
      <c r="AD10" s="8">
        <v>0</v>
      </c>
      <c r="AF10" s="7">
        <v>0</v>
      </c>
      <c r="AG10" s="1">
        <v>0</v>
      </c>
      <c r="AH10" s="1">
        <v>0</v>
      </c>
      <c r="AI10" s="8">
        <v>0</v>
      </c>
      <c r="AK10" s="7">
        <v>0</v>
      </c>
      <c r="AL10" s="1">
        <v>0</v>
      </c>
      <c r="AM10" s="1">
        <v>0</v>
      </c>
      <c r="AN10" s="8">
        <v>0</v>
      </c>
      <c r="AP10" s="7">
        <v>0</v>
      </c>
      <c r="AQ10" s="1">
        <v>0</v>
      </c>
      <c r="AR10" s="32">
        <v>1</v>
      </c>
      <c r="AS10" s="8">
        <v>0</v>
      </c>
      <c r="AU10" s="7">
        <v>0</v>
      </c>
      <c r="AV10" s="35">
        <v>1</v>
      </c>
      <c r="AW10" s="1">
        <v>0</v>
      </c>
      <c r="AX10" s="8">
        <v>0</v>
      </c>
      <c r="AZ10" s="7">
        <v>0</v>
      </c>
      <c r="BA10" s="76">
        <v>1</v>
      </c>
      <c r="BB10" s="1">
        <v>0</v>
      </c>
      <c r="BC10" s="8">
        <v>0</v>
      </c>
      <c r="BE10" s="91">
        <v>8</v>
      </c>
      <c r="BF10" s="86" t="str">
        <f ca="1">'Score List'!G10</f>
        <v/>
      </c>
      <c r="BG10" s="94" t="str">
        <f ca="1">'Score List'!H10</f>
        <v/>
      </c>
      <c r="BH10" s="87" t="str">
        <f ca="1">'Score List'!I10</f>
        <v/>
      </c>
    </row>
    <row r="11" spans="1:60" ht="18" customHeight="1" thickBot="1" x14ac:dyDescent="0.6">
      <c r="A11" s="2" t="s">
        <v>0</v>
      </c>
      <c r="B11" s="7" t="str">
        <f t="shared" ref="B7:K24" ca="1" si="8">IF(AND(AND(COLUMN()&gt;$P$3-1,COLUMN()&lt;$P$3+4),AND(ROW()&gt;$Q$3-1,ROW()&lt;$Q$3+4)),IF(INDIRECT("R"&amp;ROW()-$Q$3+$S$3*6-3&amp;"C"&amp;COLUMN()-$P$3+$R$3*5+17,FALSE)=1,$R$3+2,""),"")</f>
        <v/>
      </c>
      <c r="C11" s="1" t="str">
        <f t="shared" ca="1" si="8"/>
        <v/>
      </c>
      <c r="D11" s="1" t="str">
        <f t="shared" ca="1" si="8"/>
        <v/>
      </c>
      <c r="E11" s="1" t="str">
        <f t="shared" ca="1" si="8"/>
        <v/>
      </c>
      <c r="F11" s="1" t="str">
        <f t="shared" ca="1" si="8"/>
        <v/>
      </c>
      <c r="G11" s="1" t="str">
        <f t="shared" ca="1" si="8"/>
        <v/>
      </c>
      <c r="H11" s="1" t="str">
        <f t="shared" ca="1" si="8"/>
        <v/>
      </c>
      <c r="I11" s="1" t="str">
        <f t="shared" ca="1" si="8"/>
        <v/>
      </c>
      <c r="J11" s="1" t="str">
        <f t="shared" ca="1" si="8"/>
        <v/>
      </c>
      <c r="K11" s="8" t="str">
        <f t="shared" ca="1" si="8"/>
        <v/>
      </c>
      <c r="L11" s="2" t="s">
        <v>0</v>
      </c>
      <c r="M11" s="69" t="s">
        <v>0</v>
      </c>
      <c r="P11" s="101" t="s">
        <v>15</v>
      </c>
      <c r="Q11" s="102"/>
      <c r="R11" s="102"/>
      <c r="S11" s="102"/>
      <c r="T11" s="57" t="b">
        <f ca="1">IF(COUNTIF(O12:T16,"3")=0,TRUE,FALSE)</f>
        <v>1</v>
      </c>
      <c r="V11" s="7">
        <v>0</v>
      </c>
      <c r="W11" s="11">
        <v>1</v>
      </c>
      <c r="X11" s="12">
        <v>1</v>
      </c>
      <c r="Y11" s="8">
        <v>0</v>
      </c>
      <c r="AA11" s="19">
        <v>1</v>
      </c>
      <c r="AB11" s="18">
        <v>1</v>
      </c>
      <c r="AC11" s="18">
        <v>1</v>
      </c>
      <c r="AD11" s="20">
        <v>1</v>
      </c>
      <c r="AF11" s="7">
        <v>0</v>
      </c>
      <c r="AG11" s="24">
        <v>1</v>
      </c>
      <c r="AH11" s="24">
        <v>1</v>
      </c>
      <c r="AI11" s="25">
        <v>1</v>
      </c>
      <c r="AK11" s="7">
        <v>0</v>
      </c>
      <c r="AL11" s="28">
        <v>1</v>
      </c>
      <c r="AM11" s="1">
        <v>0</v>
      </c>
      <c r="AN11" s="8">
        <v>0</v>
      </c>
      <c r="AP11" s="7">
        <v>0</v>
      </c>
      <c r="AQ11" s="32">
        <v>1</v>
      </c>
      <c r="AR11" s="32">
        <v>1</v>
      </c>
      <c r="AS11" s="8">
        <v>0</v>
      </c>
      <c r="AU11" s="7">
        <v>0</v>
      </c>
      <c r="AV11" s="35">
        <v>1</v>
      </c>
      <c r="AW11" s="35">
        <v>1</v>
      </c>
      <c r="AX11" s="8">
        <v>0</v>
      </c>
      <c r="AZ11" s="7">
        <v>0</v>
      </c>
      <c r="BA11" s="76">
        <v>1</v>
      </c>
      <c r="BB11" s="76">
        <v>1</v>
      </c>
      <c r="BC11" s="8">
        <v>0</v>
      </c>
      <c r="BE11" s="91">
        <v>9</v>
      </c>
      <c r="BF11" s="86" t="str">
        <f ca="1">'Score List'!G11</f>
        <v/>
      </c>
      <c r="BG11" s="94" t="str">
        <f ca="1">'Score List'!H11</f>
        <v/>
      </c>
      <c r="BH11" s="87" t="str">
        <f ca="1">'Score List'!I11</f>
        <v/>
      </c>
    </row>
    <row r="12" spans="1:60" ht="18" customHeight="1" thickBot="1" x14ac:dyDescent="0.6">
      <c r="A12" s="2" t="s">
        <v>0</v>
      </c>
      <c r="B12" s="7" t="str">
        <f t="shared" ca="1" si="8"/>
        <v/>
      </c>
      <c r="C12" s="1" t="str">
        <f t="shared" ca="1" si="8"/>
        <v/>
      </c>
      <c r="D12" s="1" t="str">
        <f t="shared" ca="1" si="8"/>
        <v/>
      </c>
      <c r="E12" s="1" t="str">
        <f t="shared" ca="1" si="8"/>
        <v/>
      </c>
      <c r="F12" s="1" t="str">
        <f t="shared" ca="1" si="8"/>
        <v/>
      </c>
      <c r="G12" s="1" t="str">
        <f t="shared" ca="1" si="8"/>
        <v/>
      </c>
      <c r="H12" s="1" t="str">
        <f t="shared" ca="1" si="8"/>
        <v/>
      </c>
      <c r="I12" s="1" t="str">
        <f t="shared" ca="1" si="8"/>
        <v/>
      </c>
      <c r="J12" s="1" t="str">
        <f t="shared" ca="1" si="8"/>
        <v/>
      </c>
      <c r="K12" s="8" t="str">
        <f t="shared" ca="1" si="8"/>
        <v/>
      </c>
      <c r="L12" s="2" t="s">
        <v>0</v>
      </c>
      <c r="M12" s="69" t="s">
        <v>0</v>
      </c>
      <c r="O12" s="38" t="str">
        <f ca="1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P12" s="4" t="str">
        <f t="shared" ref="P12:S12" ca="1" si="9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Q12" s="5" t="str">
        <f t="shared" ca="1" si="9"/>
        <v/>
      </c>
      <c r="R12" s="5" t="str">
        <f t="shared" ca="1" si="9"/>
        <v/>
      </c>
      <c r="S12" s="6" t="str">
        <f t="shared" ca="1" si="9"/>
        <v/>
      </c>
      <c r="T12" s="43" t="str">
        <f ca="1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V12" s="9">
        <v>0</v>
      </c>
      <c r="W12" s="13">
        <v>1</v>
      </c>
      <c r="X12" s="14">
        <v>1</v>
      </c>
      <c r="Y12" s="10">
        <v>0</v>
      </c>
      <c r="AA12" s="9">
        <v>0</v>
      </c>
      <c r="AB12" s="3">
        <v>0</v>
      </c>
      <c r="AC12" s="3">
        <v>0</v>
      </c>
      <c r="AD12" s="10">
        <v>0</v>
      </c>
      <c r="AF12" s="9">
        <v>0</v>
      </c>
      <c r="AG12" s="26">
        <v>1</v>
      </c>
      <c r="AH12" s="3">
        <v>0</v>
      </c>
      <c r="AI12" s="10">
        <v>0</v>
      </c>
      <c r="AK12" s="9">
        <v>0</v>
      </c>
      <c r="AL12" s="29">
        <v>1</v>
      </c>
      <c r="AM12" s="29">
        <v>1</v>
      </c>
      <c r="AN12" s="30">
        <v>1</v>
      </c>
      <c r="AP12" s="9">
        <v>0</v>
      </c>
      <c r="AQ12" s="33">
        <v>1</v>
      </c>
      <c r="AR12" s="3">
        <v>0</v>
      </c>
      <c r="AS12" s="10">
        <v>0</v>
      </c>
      <c r="AU12" s="9">
        <v>0</v>
      </c>
      <c r="AV12" s="3">
        <v>0</v>
      </c>
      <c r="AW12" s="36">
        <v>1</v>
      </c>
      <c r="AX12" s="10">
        <v>0</v>
      </c>
      <c r="AZ12" s="9">
        <v>0</v>
      </c>
      <c r="BA12" s="77">
        <v>1</v>
      </c>
      <c r="BB12" s="3">
        <v>0</v>
      </c>
      <c r="BC12" s="10">
        <v>0</v>
      </c>
      <c r="BE12" s="92">
        <v>10</v>
      </c>
      <c r="BF12" s="88" t="str">
        <f ca="1">'Score List'!G12</f>
        <v/>
      </c>
      <c r="BG12" s="95" t="str">
        <f ca="1">'Score List'!H12</f>
        <v/>
      </c>
      <c r="BH12" s="89" t="str">
        <f ca="1">'Score List'!I12</f>
        <v/>
      </c>
    </row>
    <row r="13" spans="1:60" ht="18" customHeight="1" x14ac:dyDescent="0.55000000000000004">
      <c r="A13" s="2" t="s">
        <v>0</v>
      </c>
      <c r="B13" s="7" t="str">
        <f t="shared" ca="1" si="8"/>
        <v/>
      </c>
      <c r="C13" s="1" t="str">
        <f t="shared" ca="1" si="8"/>
        <v/>
      </c>
      <c r="D13" s="1" t="str">
        <f t="shared" ca="1" si="8"/>
        <v/>
      </c>
      <c r="E13" s="1" t="str">
        <f t="shared" ca="1" si="8"/>
        <v/>
      </c>
      <c r="F13" s="1" t="str">
        <f t="shared" ca="1" si="8"/>
        <v/>
      </c>
      <c r="G13" s="1" t="str">
        <f t="shared" ca="1" si="8"/>
        <v/>
      </c>
      <c r="H13" s="1" t="str">
        <f t="shared" ca="1" si="8"/>
        <v/>
      </c>
      <c r="I13" s="1" t="str">
        <f t="shared" ca="1" si="8"/>
        <v/>
      </c>
      <c r="J13" s="1" t="str">
        <f t="shared" ca="1" si="8"/>
        <v/>
      </c>
      <c r="K13" s="8" t="str">
        <f t="shared" ca="1" si="8"/>
        <v/>
      </c>
      <c r="L13" s="2" t="s">
        <v>0</v>
      </c>
      <c r="M13" s="69" t="s">
        <v>0</v>
      </c>
      <c r="O13" s="39" t="str">
        <f t="shared" ref="O13:T16" ca="1" si="10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P13" s="7" t="str">
        <f t="shared" ca="1" si="10"/>
        <v/>
      </c>
      <c r="Q13" s="1" t="str">
        <f t="shared" ca="1" si="10"/>
        <v>1</v>
      </c>
      <c r="R13" s="1" t="str">
        <f t="shared" ca="1" si="10"/>
        <v/>
      </c>
      <c r="S13" s="8" t="str">
        <f t="shared" ca="1" si="10"/>
        <v/>
      </c>
      <c r="T13" s="43" t="str">
        <f t="shared" ca="1" si="10"/>
        <v/>
      </c>
    </row>
    <row r="14" spans="1:60" ht="18" customHeight="1" thickBot="1" x14ac:dyDescent="0.6">
      <c r="A14" s="2" t="s">
        <v>0</v>
      </c>
      <c r="B14" s="7" t="str">
        <f t="shared" ca="1" si="8"/>
        <v/>
      </c>
      <c r="C14" s="1" t="str">
        <f t="shared" ca="1" si="8"/>
        <v/>
      </c>
      <c r="D14" s="1" t="str">
        <f t="shared" ca="1" si="8"/>
        <v/>
      </c>
      <c r="E14" s="1" t="str">
        <f t="shared" ca="1" si="8"/>
        <v/>
      </c>
      <c r="F14" s="1" t="str">
        <f t="shared" ca="1" si="8"/>
        <v/>
      </c>
      <c r="G14" s="1" t="str">
        <f t="shared" ca="1" si="8"/>
        <v/>
      </c>
      <c r="H14" s="1" t="str">
        <f t="shared" ca="1" si="8"/>
        <v/>
      </c>
      <c r="I14" s="1" t="str">
        <f t="shared" ca="1" si="8"/>
        <v/>
      </c>
      <c r="J14" s="1" t="str">
        <f t="shared" ca="1" si="8"/>
        <v/>
      </c>
      <c r="K14" s="8" t="str">
        <f t="shared" ca="1" si="8"/>
        <v/>
      </c>
      <c r="L14" s="2" t="s">
        <v>0</v>
      </c>
      <c r="M14" s="69" t="s">
        <v>0</v>
      </c>
      <c r="O14" s="39" t="str">
        <f t="shared" ca="1" si="10"/>
        <v/>
      </c>
      <c r="P14" s="7" t="str">
        <f t="shared" ca="1" si="10"/>
        <v/>
      </c>
      <c r="Q14" s="1" t="str">
        <f t="shared" ca="1" si="10"/>
        <v>1</v>
      </c>
      <c r="R14" s="1" t="str">
        <f t="shared" ca="1" si="10"/>
        <v/>
      </c>
      <c r="S14" s="8" t="str">
        <f t="shared" ca="1" si="10"/>
        <v/>
      </c>
      <c r="T14" s="43" t="str">
        <f t="shared" ca="1" si="10"/>
        <v/>
      </c>
      <c r="W14" s="104" t="s">
        <v>4</v>
      </c>
      <c r="X14" s="104"/>
      <c r="AB14" s="100" t="s">
        <v>4</v>
      </c>
      <c r="AC14" s="100"/>
      <c r="AG14" s="100" t="s">
        <v>4</v>
      </c>
      <c r="AH14" s="100"/>
      <c r="AL14" s="100" t="s">
        <v>4</v>
      </c>
      <c r="AM14" s="100"/>
      <c r="AQ14" s="100" t="s">
        <v>4</v>
      </c>
      <c r="AR14" s="100"/>
      <c r="AV14" s="100" t="s">
        <v>4</v>
      </c>
      <c r="AW14" s="100"/>
      <c r="BA14" s="100" t="s">
        <v>4</v>
      </c>
      <c r="BB14" s="100"/>
    </row>
    <row r="15" spans="1:60" ht="18" customHeight="1" thickBot="1" x14ac:dyDescent="0.6">
      <c r="A15" s="2" t="s">
        <v>0</v>
      </c>
      <c r="B15" s="7" t="str">
        <f t="shared" ca="1" si="8"/>
        <v/>
      </c>
      <c r="C15" s="1" t="str">
        <f t="shared" ca="1" si="8"/>
        <v/>
      </c>
      <c r="D15" s="1" t="str">
        <f t="shared" ca="1" si="8"/>
        <v/>
      </c>
      <c r="E15" s="1" t="str">
        <f t="shared" ca="1" si="8"/>
        <v/>
      </c>
      <c r="F15" s="1" t="str">
        <f t="shared" ca="1" si="8"/>
        <v/>
      </c>
      <c r="G15" s="1" t="str">
        <f t="shared" ca="1" si="8"/>
        <v/>
      </c>
      <c r="H15" s="1" t="str">
        <f t="shared" ca="1" si="8"/>
        <v/>
      </c>
      <c r="I15" s="1" t="str">
        <f t="shared" ca="1" si="8"/>
        <v/>
      </c>
      <c r="J15" s="1" t="str">
        <f t="shared" ca="1" si="8"/>
        <v/>
      </c>
      <c r="K15" s="8" t="str">
        <f t="shared" ca="1" si="8"/>
        <v/>
      </c>
      <c r="L15" s="2" t="s">
        <v>0</v>
      </c>
      <c r="M15" s="69" t="s">
        <v>0</v>
      </c>
      <c r="O15" s="39" t="str">
        <f t="shared" ca="1" si="10"/>
        <v/>
      </c>
      <c r="P15" s="9" t="str">
        <f t="shared" ca="1" si="10"/>
        <v/>
      </c>
      <c r="Q15" s="3" t="str">
        <f t="shared" ca="1" si="10"/>
        <v>1</v>
      </c>
      <c r="R15" s="3" t="str">
        <f t="shared" ca="1" si="10"/>
        <v>1</v>
      </c>
      <c r="S15" s="10" t="str">
        <f t="shared" ca="1" si="10"/>
        <v/>
      </c>
      <c r="T15" s="43" t="str">
        <f t="shared" ca="1" si="10"/>
        <v/>
      </c>
      <c r="V15" s="4">
        <v>0</v>
      </c>
      <c r="W15" s="5">
        <v>0</v>
      </c>
      <c r="X15" s="5">
        <v>0</v>
      </c>
      <c r="Y15" s="6">
        <v>0</v>
      </c>
      <c r="AA15" s="4">
        <v>0</v>
      </c>
      <c r="AB15" s="5">
        <v>0</v>
      </c>
      <c r="AC15" s="15">
        <v>1</v>
      </c>
      <c r="AD15" s="6">
        <v>0</v>
      </c>
      <c r="AF15" s="4">
        <v>0</v>
      </c>
      <c r="AG15" s="5">
        <v>0</v>
      </c>
      <c r="AH15" s="5">
        <v>0</v>
      </c>
      <c r="AI15" s="6">
        <v>0</v>
      </c>
      <c r="AK15" s="4">
        <v>0</v>
      </c>
      <c r="AL15" s="5">
        <v>0</v>
      </c>
      <c r="AM15" s="5">
        <v>0</v>
      </c>
      <c r="AN15" s="6">
        <v>0</v>
      </c>
      <c r="AP15" s="4">
        <v>0</v>
      </c>
      <c r="AQ15" s="5">
        <v>0</v>
      </c>
      <c r="AR15" s="5">
        <v>0</v>
      </c>
      <c r="AS15" s="6">
        <v>0</v>
      </c>
      <c r="AU15" s="4">
        <v>0</v>
      </c>
      <c r="AV15" s="5">
        <v>0</v>
      </c>
      <c r="AW15" s="5">
        <v>0</v>
      </c>
      <c r="AX15" s="6">
        <v>0</v>
      </c>
      <c r="AZ15" s="4">
        <v>0</v>
      </c>
      <c r="BA15" s="5">
        <v>0</v>
      </c>
      <c r="BB15" s="5">
        <v>0</v>
      </c>
      <c r="BC15" s="6">
        <v>0</v>
      </c>
    </row>
    <row r="16" spans="1:60" ht="18" customHeight="1" thickBot="1" x14ac:dyDescent="0.6">
      <c r="A16" s="2" t="s">
        <v>0</v>
      </c>
      <c r="B16" s="7" t="str">
        <f t="shared" ca="1" si="8"/>
        <v/>
      </c>
      <c r="C16" s="1" t="str">
        <f t="shared" ca="1" si="8"/>
        <v/>
      </c>
      <c r="D16" s="1" t="str">
        <f t="shared" ca="1" si="8"/>
        <v/>
      </c>
      <c r="E16" s="1" t="str">
        <f t="shared" ca="1" si="8"/>
        <v/>
      </c>
      <c r="F16" s="1" t="str">
        <f t="shared" ca="1" si="8"/>
        <v/>
      </c>
      <c r="G16" s="1" t="str">
        <f t="shared" ca="1" si="8"/>
        <v/>
      </c>
      <c r="H16" s="1" t="str">
        <f t="shared" ca="1" si="8"/>
        <v/>
      </c>
      <c r="I16" s="1" t="str">
        <f t="shared" ca="1" si="8"/>
        <v/>
      </c>
      <c r="J16" s="1" t="str">
        <f t="shared" ca="1" si="8"/>
        <v/>
      </c>
      <c r="K16" s="8" t="str">
        <f t="shared" ca="1" si="8"/>
        <v/>
      </c>
      <c r="L16" s="2" t="s">
        <v>0</v>
      </c>
      <c r="M16" s="69" t="s">
        <v>0</v>
      </c>
      <c r="O16" s="40" t="str">
        <f t="shared" ca="1" si="10"/>
        <v/>
      </c>
      <c r="P16" s="41" t="str">
        <f t="shared" ca="1" si="10"/>
        <v/>
      </c>
      <c r="Q16" s="41" t="str">
        <f t="shared" ca="1" si="10"/>
        <v/>
      </c>
      <c r="R16" s="41" t="str">
        <f t="shared" ca="1" si="10"/>
        <v/>
      </c>
      <c r="S16" s="41" t="str">
        <f t="shared" ca="1" si="10"/>
        <v/>
      </c>
      <c r="T16" s="42" t="str">
        <f t="shared" ca="1" si="10"/>
        <v/>
      </c>
      <c r="V16" s="7">
        <v>0</v>
      </c>
      <c r="W16" s="1">
        <v>0</v>
      </c>
      <c r="X16" s="1">
        <v>0</v>
      </c>
      <c r="Y16" s="8">
        <v>0</v>
      </c>
      <c r="AA16" s="7">
        <v>0</v>
      </c>
      <c r="AB16" s="1">
        <v>0</v>
      </c>
      <c r="AC16" s="16">
        <v>1</v>
      </c>
      <c r="AD16" s="8">
        <v>0</v>
      </c>
      <c r="AF16" s="7">
        <v>0</v>
      </c>
      <c r="AG16" s="24">
        <v>1</v>
      </c>
      <c r="AH16" s="24">
        <v>1</v>
      </c>
      <c r="AI16" s="8">
        <v>0</v>
      </c>
      <c r="AK16" s="7">
        <v>0</v>
      </c>
      <c r="AL16" s="28">
        <v>1</v>
      </c>
      <c r="AM16" s="28">
        <v>1</v>
      </c>
      <c r="AN16" s="8">
        <v>0</v>
      </c>
      <c r="AP16" s="7">
        <v>0</v>
      </c>
      <c r="AQ16" s="1">
        <v>0</v>
      </c>
      <c r="AR16" s="1">
        <v>0</v>
      </c>
      <c r="AS16" s="8">
        <v>0</v>
      </c>
      <c r="AU16" s="7">
        <v>0</v>
      </c>
      <c r="AV16" s="1">
        <v>0</v>
      </c>
      <c r="AW16" s="1">
        <v>0</v>
      </c>
      <c r="AX16" s="8">
        <v>0</v>
      </c>
      <c r="AZ16" s="7">
        <v>0</v>
      </c>
      <c r="BA16" s="1">
        <v>0</v>
      </c>
      <c r="BB16" s="1">
        <v>0</v>
      </c>
      <c r="BC16" s="8">
        <v>0</v>
      </c>
    </row>
    <row r="17" spans="1:55" ht="18" customHeight="1" x14ac:dyDescent="0.55000000000000004">
      <c r="A17" s="2" t="s">
        <v>0</v>
      </c>
      <c r="B17" s="7" t="str">
        <f t="shared" ca="1" si="8"/>
        <v/>
      </c>
      <c r="C17" s="1" t="str">
        <f t="shared" ca="1" si="8"/>
        <v/>
      </c>
      <c r="D17" s="1" t="str">
        <f t="shared" ca="1" si="8"/>
        <v/>
      </c>
      <c r="E17" s="1" t="str">
        <f t="shared" ca="1" si="8"/>
        <v/>
      </c>
      <c r="F17" s="1" t="str">
        <f t="shared" ca="1" si="8"/>
        <v/>
      </c>
      <c r="G17" s="1" t="str">
        <f t="shared" ca="1" si="8"/>
        <v/>
      </c>
      <c r="H17" s="1" t="str">
        <f t="shared" ca="1" si="8"/>
        <v/>
      </c>
      <c r="I17" s="1" t="str">
        <f t="shared" ca="1" si="8"/>
        <v/>
      </c>
      <c r="J17" s="1" t="str">
        <f t="shared" ca="1" si="8"/>
        <v/>
      </c>
      <c r="K17" s="8" t="str">
        <f t="shared" ca="1" si="8"/>
        <v/>
      </c>
      <c r="L17" s="2" t="s">
        <v>0</v>
      </c>
      <c r="M17" s="69" t="s">
        <v>0</v>
      </c>
      <c r="V17" s="7">
        <v>0</v>
      </c>
      <c r="W17" s="11">
        <v>1</v>
      </c>
      <c r="X17" s="12">
        <v>1</v>
      </c>
      <c r="Y17" s="8">
        <v>0</v>
      </c>
      <c r="AA17" s="7">
        <v>0</v>
      </c>
      <c r="AB17" s="1">
        <v>0</v>
      </c>
      <c r="AC17" s="16">
        <v>1</v>
      </c>
      <c r="AD17" s="8">
        <v>0</v>
      </c>
      <c r="AF17" s="7">
        <v>0</v>
      </c>
      <c r="AG17" s="1">
        <v>0</v>
      </c>
      <c r="AH17" s="24">
        <v>1</v>
      </c>
      <c r="AI17" s="8">
        <v>0</v>
      </c>
      <c r="AK17" s="7">
        <v>0</v>
      </c>
      <c r="AL17" s="28">
        <v>1</v>
      </c>
      <c r="AM17" s="1">
        <v>0</v>
      </c>
      <c r="AN17" s="8">
        <v>0</v>
      </c>
      <c r="AP17" s="7">
        <v>0</v>
      </c>
      <c r="AQ17" s="32">
        <v>1</v>
      </c>
      <c r="AR17" s="32">
        <v>1</v>
      </c>
      <c r="AS17" s="8">
        <v>0</v>
      </c>
      <c r="AU17" s="7">
        <v>0</v>
      </c>
      <c r="AV17" s="35">
        <v>1</v>
      </c>
      <c r="AW17" s="35">
        <v>1</v>
      </c>
      <c r="AX17" s="8">
        <v>0</v>
      </c>
      <c r="AZ17" s="78">
        <v>1</v>
      </c>
      <c r="BA17" s="76">
        <v>1</v>
      </c>
      <c r="BB17" s="76">
        <v>1</v>
      </c>
      <c r="BC17" s="8">
        <v>0</v>
      </c>
    </row>
    <row r="18" spans="1:55" ht="18" customHeight="1" thickBot="1" x14ac:dyDescent="0.6">
      <c r="A18" s="2" t="s">
        <v>0</v>
      </c>
      <c r="B18" s="7" t="str">
        <f t="shared" ca="1" si="8"/>
        <v/>
      </c>
      <c r="C18" s="1" t="str">
        <f t="shared" ca="1" si="8"/>
        <v/>
      </c>
      <c r="D18" s="1" t="str">
        <f t="shared" ca="1" si="8"/>
        <v/>
      </c>
      <c r="E18" s="1" t="str">
        <f t="shared" ca="1" si="8"/>
        <v/>
      </c>
      <c r="F18" s="1" t="str">
        <f t="shared" ca="1" si="8"/>
        <v/>
      </c>
      <c r="G18" s="1" t="str">
        <f t="shared" ca="1" si="8"/>
        <v/>
      </c>
      <c r="H18" s="1" t="str">
        <f t="shared" ca="1" si="8"/>
        <v/>
      </c>
      <c r="I18" s="1" t="str">
        <f t="shared" ca="1" si="8"/>
        <v/>
      </c>
      <c r="J18" s="1" t="str">
        <f t="shared" ca="1" si="8"/>
        <v/>
      </c>
      <c r="K18" s="8" t="str">
        <f t="shared" ca="1" si="8"/>
        <v/>
      </c>
      <c r="L18" s="2" t="s">
        <v>0</v>
      </c>
      <c r="M18" s="69" t="s">
        <v>0</v>
      </c>
      <c r="O18" s="54"/>
      <c r="P18" s="101" t="s">
        <v>16</v>
      </c>
      <c r="Q18" s="102"/>
      <c r="R18" s="102"/>
      <c r="S18" s="102"/>
      <c r="T18" s="57" t="b">
        <f ca="1">IF(COUNTIF(O19:T23,"3")=0,TRUE,FALSE)</f>
        <v>1</v>
      </c>
      <c r="V18" s="9">
        <v>0</v>
      </c>
      <c r="W18" s="13">
        <v>1</v>
      </c>
      <c r="X18" s="14">
        <v>1</v>
      </c>
      <c r="Y18" s="10">
        <v>0</v>
      </c>
      <c r="AA18" s="9">
        <v>0</v>
      </c>
      <c r="AB18" s="3">
        <v>0</v>
      </c>
      <c r="AC18" s="17">
        <v>1</v>
      </c>
      <c r="AD18" s="10">
        <v>0</v>
      </c>
      <c r="AF18" s="9">
        <v>0</v>
      </c>
      <c r="AG18" s="3">
        <v>0</v>
      </c>
      <c r="AH18" s="26">
        <v>1</v>
      </c>
      <c r="AI18" s="10">
        <v>0</v>
      </c>
      <c r="AK18" s="9">
        <v>0</v>
      </c>
      <c r="AL18" s="29">
        <v>1</v>
      </c>
      <c r="AM18" s="3">
        <v>0</v>
      </c>
      <c r="AN18" s="10">
        <v>0</v>
      </c>
      <c r="AP18" s="9">
        <v>0</v>
      </c>
      <c r="AQ18" s="3">
        <v>0</v>
      </c>
      <c r="AR18" s="33">
        <v>1</v>
      </c>
      <c r="AS18" s="34">
        <v>1</v>
      </c>
      <c r="AU18" s="37">
        <v>1</v>
      </c>
      <c r="AV18" s="36">
        <v>1</v>
      </c>
      <c r="AW18" s="3">
        <v>0</v>
      </c>
      <c r="AX18" s="10">
        <v>0</v>
      </c>
      <c r="AZ18" s="9">
        <v>0</v>
      </c>
      <c r="BA18" s="77">
        <v>1</v>
      </c>
      <c r="BB18" s="3">
        <v>0</v>
      </c>
      <c r="BC18" s="10">
        <v>0</v>
      </c>
    </row>
    <row r="19" spans="1:55" ht="18" customHeight="1" x14ac:dyDescent="0.55000000000000004">
      <c r="A19" s="2" t="s">
        <v>0</v>
      </c>
      <c r="B19" s="7" t="str">
        <f t="shared" ca="1" si="8"/>
        <v/>
      </c>
      <c r="C19" s="1" t="str">
        <f t="shared" ca="1" si="8"/>
        <v/>
      </c>
      <c r="D19" s="1" t="str">
        <f t="shared" ca="1" si="8"/>
        <v/>
      </c>
      <c r="E19" s="1" t="str">
        <f t="shared" ca="1" si="8"/>
        <v/>
      </c>
      <c r="F19" s="1" t="str">
        <f t="shared" ca="1" si="8"/>
        <v/>
      </c>
      <c r="G19" s="1" t="str">
        <f t="shared" ca="1" si="8"/>
        <v/>
      </c>
      <c r="H19" s="1" t="str">
        <f t="shared" ca="1" si="8"/>
        <v/>
      </c>
      <c r="I19" s="1" t="str">
        <f t="shared" ca="1" si="8"/>
        <v/>
      </c>
      <c r="J19" s="1" t="str">
        <f t="shared" ca="1" si="8"/>
        <v/>
      </c>
      <c r="K19" s="8" t="str">
        <f t="shared" ca="1" si="8"/>
        <v/>
      </c>
      <c r="L19" s="2" t="s">
        <v>0</v>
      </c>
      <c r="M19" s="69" t="s">
        <v>0</v>
      </c>
      <c r="O19" s="38" t="str">
        <f t="shared" ref="O19:T23" ca="1" si="11">_xlfn.IFS(AND(INDIRECT("R"&amp;ROW()-19+6*$S$3-3&amp;"C"&amp;COLUMN()-16+5*$R$3+17,FALSE)=1,OR(AND(INDIRECT("R"&amp;ROW()-19+$Q$3&amp;"C"&amp;COLUMN()-16+$P$3-1,FALSE)&gt;12,NOT(INDIRECT("R"&amp;ROW()-19+$Q$3&amp;"C"&amp;COLUMN()-16+$P$3-1,FALSE)="")),INDIRECT("R"&amp;ROW()-19+$Q$3&amp;"C"&amp;COLUMN()-16+$P$3-1,FALSE)="tetris")),3,TRUE,IF(INDIRECT("R"&amp;ROW()-19+6*$S$3-3&amp;"C"&amp;COLUMN()-16+5*$R$3+17,FALSE)=1,1,"")&amp;IF(AND(ISNUMBER(INDIRECT("R"&amp;ROW()-19+$Q$3&amp;"C"&amp;COLUMN()-16+$P$3-1,FALSE)),INDIRECT("R"&amp;ROW()-19+$Q$3&amp;"C"&amp;COLUMN()-16+$P$3-1,FALSE)&gt;12),2,""))</f>
        <v/>
      </c>
      <c r="P19" s="4" t="str">
        <f t="shared" ref="P19:T19" ca="1" si="12">_xlfn.IFS(AND(INDIRECT("R"&amp;ROW()-19+6*$S$3-3&amp;"C"&amp;COLUMN()-16+5*$R$3+17,FALSE)=1,OR(AND(INDIRECT("R"&amp;ROW()-19+$Q$3&amp;"C"&amp;COLUMN()-16+$P$3-1,FALSE)&gt;12,NOT(INDIRECT("R"&amp;ROW()-19+$Q$3&amp;"C"&amp;COLUMN()-16+$P$3-1,FALSE)="")),INDIRECT("R"&amp;ROW()-19+$Q$3&amp;"C"&amp;COLUMN()-16+$P$3-1,FALSE)="tetris")),3,TRUE,IF(INDIRECT("R"&amp;ROW()-19+6*$S$3-3&amp;"C"&amp;COLUMN()-16+5*$R$3+17,FALSE)=1,1,"")&amp;IF(AND(ISNUMBER(INDIRECT("R"&amp;ROW()-19+$Q$3&amp;"C"&amp;COLUMN()-16+$P$3-1,FALSE)),INDIRECT("R"&amp;ROW()-19+$Q$3&amp;"C"&amp;COLUMN()-16+$P$3-1,FALSE)&gt;12),2,""))</f>
        <v/>
      </c>
      <c r="Q19" s="5" t="str">
        <f t="shared" ca="1" si="12"/>
        <v/>
      </c>
      <c r="R19" s="5" t="str">
        <f t="shared" ca="1" si="12"/>
        <v/>
      </c>
      <c r="S19" s="6" t="str">
        <f t="shared" ca="1" si="12"/>
        <v/>
      </c>
      <c r="T19" s="43" t="str">
        <f t="shared" ca="1" si="12"/>
        <v/>
      </c>
    </row>
    <row r="20" spans="1:55" ht="18" customHeight="1" thickBot="1" x14ac:dyDescent="0.6">
      <c r="A20" s="2" t="s">
        <v>0</v>
      </c>
      <c r="B20" s="7">
        <v>18</v>
      </c>
      <c r="C20" s="1" t="str">
        <f t="shared" ca="1" si="8"/>
        <v/>
      </c>
      <c r="D20" s="1" t="str">
        <f t="shared" ca="1" si="8"/>
        <v/>
      </c>
      <c r="E20" s="1" t="str">
        <f t="shared" ca="1" si="8"/>
        <v/>
      </c>
      <c r="F20" s="1" t="str">
        <f t="shared" ca="1" si="8"/>
        <v/>
      </c>
      <c r="G20" s="1" t="str">
        <f t="shared" ca="1" si="8"/>
        <v/>
      </c>
      <c r="H20" s="1" t="str">
        <f t="shared" ca="1" si="8"/>
        <v/>
      </c>
      <c r="I20" s="1" t="str">
        <f t="shared" ca="1" si="8"/>
        <v/>
      </c>
      <c r="J20" s="1" t="str">
        <f t="shared" ca="1" si="8"/>
        <v/>
      </c>
      <c r="K20" s="8" t="str">
        <f t="shared" ca="1" si="8"/>
        <v/>
      </c>
      <c r="L20" s="2" t="s">
        <v>0</v>
      </c>
      <c r="M20" s="69" t="s">
        <v>0</v>
      </c>
      <c r="O20" s="39" t="str">
        <f t="shared" ca="1" si="11"/>
        <v/>
      </c>
      <c r="P20" s="7" t="str">
        <f t="shared" ca="1" si="11"/>
        <v/>
      </c>
      <c r="Q20" s="1" t="str">
        <f t="shared" ca="1" si="11"/>
        <v>1</v>
      </c>
      <c r="R20" s="1" t="str">
        <f t="shared" ca="1" si="11"/>
        <v/>
      </c>
      <c r="S20" s="8" t="str">
        <f t="shared" ca="1" si="11"/>
        <v/>
      </c>
      <c r="T20" s="43" t="str">
        <f t="shared" ca="1" si="11"/>
        <v/>
      </c>
      <c r="W20" s="104" t="s">
        <v>5</v>
      </c>
      <c r="X20" s="104"/>
      <c r="AB20" s="100" t="s">
        <v>5</v>
      </c>
      <c r="AC20" s="100"/>
      <c r="AG20" s="100" t="s">
        <v>5</v>
      </c>
      <c r="AH20" s="100"/>
      <c r="AL20" s="100" t="s">
        <v>5</v>
      </c>
      <c r="AM20" s="100"/>
      <c r="AQ20" s="100" t="s">
        <v>5</v>
      </c>
      <c r="AR20" s="100"/>
      <c r="AV20" s="100" t="s">
        <v>5</v>
      </c>
      <c r="AW20" s="100"/>
      <c r="BA20" s="100" t="s">
        <v>5</v>
      </c>
      <c r="BB20" s="100"/>
    </row>
    <row r="21" spans="1:55" ht="18" customHeight="1" x14ac:dyDescent="0.55000000000000004">
      <c r="A21" s="2" t="s">
        <v>0</v>
      </c>
      <c r="B21" s="7">
        <v>18</v>
      </c>
      <c r="C21" s="1">
        <v>18</v>
      </c>
      <c r="D21" s="1" t="str">
        <f t="shared" ca="1" si="8"/>
        <v/>
      </c>
      <c r="E21" s="1" t="str">
        <f t="shared" ca="1" si="8"/>
        <v/>
      </c>
      <c r="F21" s="1" t="str">
        <f t="shared" ca="1" si="8"/>
        <v/>
      </c>
      <c r="G21" s="1" t="str">
        <f t="shared" ca="1" si="8"/>
        <v/>
      </c>
      <c r="H21" s="1">
        <v>16</v>
      </c>
      <c r="I21" s="1">
        <v>16</v>
      </c>
      <c r="J21" s="1" t="str">
        <f t="shared" ca="1" si="8"/>
        <v/>
      </c>
      <c r="K21" s="8" t="str">
        <f t="shared" ca="1" si="8"/>
        <v/>
      </c>
      <c r="L21" s="2" t="s">
        <v>0</v>
      </c>
      <c r="M21" s="69" t="s">
        <v>0</v>
      </c>
      <c r="O21" s="39" t="str">
        <f t="shared" ca="1" si="11"/>
        <v/>
      </c>
      <c r="P21" s="7" t="str">
        <f t="shared" ca="1" si="11"/>
        <v/>
      </c>
      <c r="Q21" s="1" t="str">
        <f t="shared" ca="1" si="11"/>
        <v>1</v>
      </c>
      <c r="R21" s="1" t="str">
        <f t="shared" ca="1" si="11"/>
        <v/>
      </c>
      <c r="S21" s="8" t="str">
        <f t="shared" ca="1" si="11"/>
        <v/>
      </c>
      <c r="T21" s="43" t="str">
        <f t="shared" ca="1" si="11"/>
        <v/>
      </c>
      <c r="V21" s="4">
        <v>0</v>
      </c>
      <c r="W21" s="5">
        <v>0</v>
      </c>
      <c r="X21" s="5">
        <v>0</v>
      </c>
      <c r="Y21" s="6">
        <v>0</v>
      </c>
      <c r="AA21" s="4">
        <v>0</v>
      </c>
      <c r="AB21" s="5">
        <v>0</v>
      </c>
      <c r="AC21" s="5">
        <v>0</v>
      </c>
      <c r="AD21" s="6">
        <v>0</v>
      </c>
      <c r="AF21" s="4">
        <v>0</v>
      </c>
      <c r="AG21" s="5">
        <v>0</v>
      </c>
      <c r="AH21" s="5">
        <v>0</v>
      </c>
      <c r="AI21" s="6">
        <v>0</v>
      </c>
      <c r="AK21" s="4">
        <v>0</v>
      </c>
      <c r="AL21" s="5">
        <v>0</v>
      </c>
      <c r="AM21" s="5">
        <v>0</v>
      </c>
      <c r="AN21" s="6">
        <v>0</v>
      </c>
      <c r="AP21" s="4">
        <v>0</v>
      </c>
      <c r="AQ21" s="5">
        <v>0</v>
      </c>
      <c r="AR21" s="5">
        <v>0</v>
      </c>
      <c r="AS21" s="6">
        <v>0</v>
      </c>
      <c r="AU21" s="4">
        <v>0</v>
      </c>
      <c r="AV21" s="5">
        <v>0</v>
      </c>
      <c r="AW21" s="5">
        <v>0</v>
      </c>
      <c r="AX21" s="6">
        <v>0</v>
      </c>
      <c r="AZ21" s="4">
        <v>0</v>
      </c>
      <c r="BA21" s="5">
        <v>0</v>
      </c>
      <c r="BB21" s="5">
        <v>0</v>
      </c>
      <c r="BC21" s="6">
        <v>0</v>
      </c>
    </row>
    <row r="22" spans="1:55" ht="18" customHeight="1" thickBot="1" x14ac:dyDescent="0.6">
      <c r="A22" s="2" t="s">
        <v>0</v>
      </c>
      <c r="B22" s="7">
        <v>19</v>
      </c>
      <c r="C22" s="1">
        <v>18</v>
      </c>
      <c r="D22" s="1" t="str">
        <f t="shared" ca="1" si="8"/>
        <v/>
      </c>
      <c r="E22" s="1" t="str">
        <f t="shared" ca="1" si="8"/>
        <v/>
      </c>
      <c r="F22" s="1" t="str">
        <f t="shared" ca="1" si="8"/>
        <v/>
      </c>
      <c r="G22" s="1" t="str">
        <f t="shared" ca="1" si="8"/>
        <v/>
      </c>
      <c r="H22" s="1">
        <v>16</v>
      </c>
      <c r="I22" s="1">
        <v>15</v>
      </c>
      <c r="J22" s="1" t="str">
        <f t="shared" ca="1" si="8"/>
        <v/>
      </c>
      <c r="K22" s="8" t="str">
        <f t="shared" ca="1" si="8"/>
        <v/>
      </c>
      <c r="L22" s="2" t="s">
        <v>0</v>
      </c>
      <c r="M22" s="69" t="s">
        <v>0</v>
      </c>
      <c r="O22" s="39" t="str">
        <f t="shared" ca="1" si="11"/>
        <v/>
      </c>
      <c r="P22" s="9" t="str">
        <f t="shared" ca="1" si="11"/>
        <v/>
      </c>
      <c r="Q22" s="3" t="str">
        <f t="shared" ca="1" si="11"/>
        <v>1</v>
      </c>
      <c r="R22" s="3" t="str">
        <f t="shared" ca="1" si="11"/>
        <v>1</v>
      </c>
      <c r="S22" s="10" t="str">
        <f t="shared" ca="1" si="11"/>
        <v/>
      </c>
      <c r="T22" s="43" t="str">
        <f t="shared" ca="1" si="11"/>
        <v/>
      </c>
      <c r="V22" s="7">
        <v>0</v>
      </c>
      <c r="W22" s="1">
        <v>0</v>
      </c>
      <c r="X22" s="1">
        <v>0</v>
      </c>
      <c r="Y22" s="8">
        <v>0</v>
      </c>
      <c r="AA22" s="7">
        <v>0</v>
      </c>
      <c r="AB22" s="1">
        <v>0</v>
      </c>
      <c r="AC22" s="1">
        <v>0</v>
      </c>
      <c r="AD22" s="8">
        <v>0</v>
      </c>
      <c r="AF22" s="7">
        <v>0</v>
      </c>
      <c r="AG22" s="1">
        <v>0</v>
      </c>
      <c r="AH22" s="1">
        <v>0</v>
      </c>
      <c r="AI22" s="8">
        <v>0</v>
      </c>
      <c r="AK22" s="7">
        <v>0</v>
      </c>
      <c r="AL22" s="1">
        <v>0</v>
      </c>
      <c r="AM22" s="1">
        <v>0</v>
      </c>
      <c r="AN22" s="8">
        <v>0</v>
      </c>
      <c r="AP22" s="7">
        <v>0</v>
      </c>
      <c r="AQ22" s="1">
        <v>0</v>
      </c>
      <c r="AR22" s="32">
        <v>1</v>
      </c>
      <c r="AS22" s="8">
        <v>0</v>
      </c>
      <c r="AU22" s="7">
        <v>0</v>
      </c>
      <c r="AV22" s="35">
        <v>1</v>
      </c>
      <c r="AW22" s="1">
        <v>0</v>
      </c>
      <c r="AX22" s="8">
        <v>0</v>
      </c>
      <c r="AZ22" s="7">
        <v>0</v>
      </c>
      <c r="BA22" s="76">
        <v>1</v>
      </c>
      <c r="BB22" s="1">
        <v>0</v>
      </c>
      <c r="BC22" s="8">
        <v>0</v>
      </c>
    </row>
    <row r="23" spans="1:55" ht="18" customHeight="1" thickBot="1" x14ac:dyDescent="0.6">
      <c r="A23" s="2" t="s">
        <v>0</v>
      </c>
      <c r="B23" s="7">
        <v>19</v>
      </c>
      <c r="C23" s="1">
        <v>19</v>
      </c>
      <c r="D23" s="1">
        <v>19</v>
      </c>
      <c r="E23" s="1">
        <v>19</v>
      </c>
      <c r="F23" s="1">
        <v>19</v>
      </c>
      <c r="G23" s="1">
        <v>18</v>
      </c>
      <c r="H23" s="1">
        <v>16</v>
      </c>
      <c r="I23" s="1">
        <v>15</v>
      </c>
      <c r="J23" s="1" t="str">
        <f t="shared" ca="1" si="8"/>
        <v/>
      </c>
      <c r="K23" s="8" t="str">
        <f t="shared" ca="1" si="8"/>
        <v/>
      </c>
      <c r="L23" s="2" t="s">
        <v>0</v>
      </c>
      <c r="M23" s="69" t="s">
        <v>0</v>
      </c>
      <c r="O23" s="40" t="str">
        <f t="shared" ca="1" si="11"/>
        <v/>
      </c>
      <c r="P23" s="41" t="str">
        <f t="shared" ca="1" si="11"/>
        <v/>
      </c>
      <c r="Q23" s="41" t="str">
        <f t="shared" ca="1" si="11"/>
        <v/>
      </c>
      <c r="R23" s="41" t="str">
        <f t="shared" ca="1" si="11"/>
        <v/>
      </c>
      <c r="S23" s="41" t="str">
        <f t="shared" ca="1" si="11"/>
        <v/>
      </c>
      <c r="T23" s="42" t="str">
        <f t="shared" ca="1" si="11"/>
        <v/>
      </c>
      <c r="V23" s="7">
        <v>0</v>
      </c>
      <c r="W23" s="11">
        <v>1</v>
      </c>
      <c r="X23" s="12">
        <v>1</v>
      </c>
      <c r="Y23" s="8">
        <v>0</v>
      </c>
      <c r="AA23" s="21">
        <v>1</v>
      </c>
      <c r="AB23" s="22">
        <v>1</v>
      </c>
      <c r="AC23" s="22">
        <v>1</v>
      </c>
      <c r="AD23" s="23">
        <v>1</v>
      </c>
      <c r="AF23" s="7">
        <v>0</v>
      </c>
      <c r="AG23" s="1">
        <v>0</v>
      </c>
      <c r="AH23" s="24">
        <v>1</v>
      </c>
      <c r="AI23" s="8">
        <v>0</v>
      </c>
      <c r="AK23" s="31">
        <v>1</v>
      </c>
      <c r="AL23" s="28">
        <v>1</v>
      </c>
      <c r="AM23" s="28">
        <v>1</v>
      </c>
      <c r="AN23" s="8">
        <v>0</v>
      </c>
      <c r="AP23" s="7">
        <v>0</v>
      </c>
      <c r="AQ23" s="32">
        <v>1</v>
      </c>
      <c r="AR23" s="32">
        <v>1</v>
      </c>
      <c r="AS23" s="8">
        <v>0</v>
      </c>
      <c r="AU23" s="7">
        <v>0</v>
      </c>
      <c r="AV23" s="35">
        <v>1</v>
      </c>
      <c r="AW23" s="35">
        <v>1</v>
      </c>
      <c r="AX23" s="8">
        <v>0</v>
      </c>
      <c r="AZ23" s="78">
        <v>1</v>
      </c>
      <c r="BA23" s="76">
        <v>1</v>
      </c>
      <c r="BB23" s="1">
        <v>0</v>
      </c>
      <c r="BC23" s="8">
        <v>0</v>
      </c>
    </row>
    <row r="24" spans="1:55" ht="18" customHeight="1" thickBot="1" x14ac:dyDescent="0.6">
      <c r="A24" s="2" t="s">
        <v>0</v>
      </c>
      <c r="B24" s="9">
        <v>13</v>
      </c>
      <c r="C24" s="3">
        <v>13</v>
      </c>
      <c r="D24" s="3">
        <v>19</v>
      </c>
      <c r="E24" s="3">
        <v>17</v>
      </c>
      <c r="F24" s="3">
        <v>15</v>
      </c>
      <c r="G24" s="3" t="str">
        <f t="shared" ca="1" si="8"/>
        <v/>
      </c>
      <c r="H24" s="3">
        <v>16</v>
      </c>
      <c r="I24" s="3">
        <v>13</v>
      </c>
      <c r="J24" s="3">
        <v>13</v>
      </c>
      <c r="K24" s="10">
        <v>14</v>
      </c>
      <c r="L24" s="2" t="s">
        <v>0</v>
      </c>
      <c r="M24" s="69" t="s">
        <v>0</v>
      </c>
      <c r="V24" s="9">
        <v>0</v>
      </c>
      <c r="W24" s="13">
        <v>1</v>
      </c>
      <c r="X24" s="14">
        <v>1</v>
      </c>
      <c r="Y24" s="10">
        <v>0</v>
      </c>
      <c r="AA24" s="9">
        <v>0</v>
      </c>
      <c r="AB24" s="3">
        <v>0</v>
      </c>
      <c r="AC24" s="3">
        <v>0</v>
      </c>
      <c r="AD24" s="10">
        <v>0</v>
      </c>
      <c r="AF24" s="27">
        <v>1</v>
      </c>
      <c r="AG24" s="26">
        <v>1</v>
      </c>
      <c r="AH24" s="26">
        <v>1</v>
      </c>
      <c r="AI24" s="10">
        <v>0</v>
      </c>
      <c r="AK24" s="9">
        <v>0</v>
      </c>
      <c r="AL24" s="3">
        <v>0</v>
      </c>
      <c r="AM24" s="29">
        <v>1</v>
      </c>
      <c r="AN24" s="10">
        <v>0</v>
      </c>
      <c r="AP24" s="9">
        <v>0</v>
      </c>
      <c r="AQ24" s="33">
        <v>1</v>
      </c>
      <c r="AR24" s="3">
        <v>0</v>
      </c>
      <c r="AS24" s="10">
        <v>0</v>
      </c>
      <c r="AU24" s="9">
        <v>0</v>
      </c>
      <c r="AV24" s="3">
        <v>0</v>
      </c>
      <c r="AW24" s="36">
        <v>1</v>
      </c>
      <c r="AX24" s="10">
        <v>0</v>
      </c>
      <c r="AZ24" s="9">
        <v>0</v>
      </c>
      <c r="BA24" s="77">
        <v>1</v>
      </c>
      <c r="BB24" s="3">
        <v>0</v>
      </c>
      <c r="BC24" s="10">
        <v>0</v>
      </c>
    </row>
    <row r="25" spans="1:55" ht="21" customHeight="1" thickBot="1" x14ac:dyDescent="0.6">
      <c r="A25" s="2" t="s">
        <v>0</v>
      </c>
      <c r="B25" s="2" t="s">
        <v>0</v>
      </c>
      <c r="C25" s="2" t="s">
        <v>0</v>
      </c>
      <c r="D25" s="2" t="s">
        <v>0</v>
      </c>
      <c r="E25" s="2" t="s">
        <v>0</v>
      </c>
      <c r="F25" s="2" t="s">
        <v>0</v>
      </c>
      <c r="G25" s="2" t="s">
        <v>0</v>
      </c>
      <c r="H25" s="2" t="s">
        <v>0</v>
      </c>
      <c r="I25" s="2" t="s">
        <v>0</v>
      </c>
      <c r="J25" s="2" t="s">
        <v>0</v>
      </c>
      <c r="K25" s="2" t="s">
        <v>0</v>
      </c>
      <c r="L25" s="2" t="s">
        <v>0</v>
      </c>
      <c r="M25" s="69" t="s">
        <v>0</v>
      </c>
      <c r="P25" s="101" t="s">
        <v>17</v>
      </c>
      <c r="Q25" s="102"/>
      <c r="R25" s="102"/>
      <c r="S25" s="102"/>
      <c r="T25" s="57" t="b">
        <f ca="1">IF(COUNTIF(O26:T30,"3")=0,TRUE,FALSE)</f>
        <v>1</v>
      </c>
    </row>
    <row r="26" spans="1:55" ht="19.5" customHeight="1" x14ac:dyDescent="0.55000000000000004">
      <c r="A26" s="2" t="s">
        <v>0</v>
      </c>
      <c r="B26" s="2" t="s">
        <v>0</v>
      </c>
      <c r="C26" s="2" t="s">
        <v>0</v>
      </c>
      <c r="D26" s="2" t="s">
        <v>0</v>
      </c>
      <c r="E26" s="2" t="s">
        <v>0</v>
      </c>
      <c r="F26" s="2" t="s">
        <v>0</v>
      </c>
      <c r="G26" s="2" t="s">
        <v>0</v>
      </c>
      <c r="H26" s="2" t="s">
        <v>0</v>
      </c>
      <c r="I26" s="2" t="s">
        <v>0</v>
      </c>
      <c r="J26" s="2" t="s">
        <v>0</v>
      </c>
      <c r="K26" s="2" t="s">
        <v>0</v>
      </c>
      <c r="L26" s="2" t="s">
        <v>0</v>
      </c>
      <c r="M26" s="69" t="s">
        <v>0</v>
      </c>
      <c r="O26" s="38" t="str">
        <f t="shared" ref="O26:T26" ca="1" si="13">_xlfn.IFS(AND(INDIRECT("R"&amp;ROW()-26+6*$S$3-3&amp;"C"&amp;COLUMN()-16+5*$R$3+17,FALSE)=1,OR(AND(INDIRECT("R"&amp;ROW()-26+$Q$3&amp;"C"&amp;COLUMN()-16+$P$3+1,FALSE)&gt;12,NOT(INDIRECT("R"&amp;ROW()-26+$Q$3&amp;"C"&amp;COLUMN()-16+$P$3+1,FALSE)="")),INDIRECT("R"&amp;ROW()-26+$Q$3&amp;"C"&amp;COLUMN()-16+$P$3+1,FALSE)="tetris")),3,TRUE,IF(INDIRECT("R"&amp;ROW()-26+6*$S$3-3&amp;"C"&amp;COLUMN()-16+5*$R$3+17,FALSE)=1,1,"")&amp;IF(AND(ISNUMBER(INDIRECT("R"&amp;ROW()-26+$Q$3&amp;"C"&amp;COLUMN()-16+$P$3+1,FALSE)),INDIRECT("R"&amp;ROW()-26+$Q$3&amp;"C"&amp;COLUMN()-16+$P$3+1,FALSE)&gt;12),2,""))</f>
        <v/>
      </c>
      <c r="P26" s="4" t="str">
        <f t="shared" ca="1" si="13"/>
        <v/>
      </c>
      <c r="Q26" s="5" t="str">
        <f ca="1">_xlfn.IFS(AND(INDIRECT("R"&amp;ROW()-26+6*$S$3-3&amp;"C"&amp;COLUMN()-16+5*$R$3+17,FALSE)=1,OR(AND(INDIRECT("R"&amp;ROW()-26+$Q$3&amp;"C"&amp;COLUMN()-16+$P$3+1,FALSE)&gt;12,NOT(INDIRECT("R"&amp;ROW()-26+$Q$3&amp;"C"&amp;COLUMN()-16+$P$3+1,FALSE)="")),INDIRECT("R"&amp;ROW()-26+$Q$3&amp;"C"&amp;COLUMN()-16+$P$3+1,FALSE)="tetris")),3,TRUE,IF(INDIRECT("R"&amp;ROW()-26+6*$S$3-3&amp;"C"&amp;COLUMN()-16+5*$R$3+17,FALSE)=1,1,"")&amp;IF(AND(ISNUMBER(INDIRECT("R"&amp;ROW()-26+$Q$3&amp;"C"&amp;COLUMN()-16+$P$3+1,FALSE)),INDIRECT("R"&amp;ROW()-26+$Q$3&amp;"C"&amp;COLUMN()-16+$P$3+1,FALSE)&gt;12),2,""))</f>
        <v/>
      </c>
      <c r="R26" s="5" t="str">
        <f t="shared" ca="1" si="13"/>
        <v/>
      </c>
      <c r="S26" s="6" t="str">
        <f t="shared" ca="1" si="13"/>
        <v/>
      </c>
      <c r="T26" s="43" t="str">
        <f t="shared" ca="1" si="13"/>
        <v/>
      </c>
      <c r="V26" s="96" t="s">
        <v>26</v>
      </c>
      <c r="W26" s="98"/>
      <c r="Y26" s="105" t="s">
        <v>23</v>
      </c>
      <c r="Z26" s="107"/>
      <c r="AB26" s="68" t="s">
        <v>27</v>
      </c>
      <c r="AD26" s="67" t="s">
        <v>30</v>
      </c>
      <c r="AF26" s="67" t="s">
        <v>31</v>
      </c>
      <c r="AH26" s="73" t="s">
        <v>32</v>
      </c>
    </row>
    <row r="27" spans="1:55" ht="14.7" thickBot="1" x14ac:dyDescent="0.6">
      <c r="O27" s="39" t="str">
        <f t="shared" ref="O27:T30" ca="1" si="14">_xlfn.IFS(AND(INDIRECT("R"&amp;ROW()-26+6*$S$3-3&amp;"C"&amp;COLUMN()-16+5*$R$3+17,FALSE)=1,OR(AND(INDIRECT("R"&amp;ROW()-26+$Q$3&amp;"C"&amp;COLUMN()-16+$P$3+1,FALSE)&gt;12,NOT(INDIRECT("R"&amp;ROW()-26+$Q$3&amp;"C"&amp;COLUMN()-16+$P$3+1,FALSE)="")),INDIRECT("R"&amp;ROW()-26+$Q$3&amp;"C"&amp;COLUMN()-16+$P$3+1,FALSE)="tetris")),3,TRUE,IF(INDIRECT("R"&amp;ROW()-26+6*$S$3-3&amp;"C"&amp;COLUMN()-16+5*$R$3+17,FALSE)=1,1,"")&amp;IF(AND(ISNUMBER(INDIRECT("R"&amp;ROW()-26+$Q$3&amp;"C"&amp;COLUMN()-16+$P$3+1,FALSE)),INDIRECT("R"&amp;ROW()-26+$Q$3&amp;"C"&amp;COLUMN()-16+$P$3+1,FALSE)&gt;12),2,""))</f>
        <v/>
      </c>
      <c r="P27" s="7" t="str">
        <f t="shared" ca="1" si="14"/>
        <v/>
      </c>
      <c r="Q27" s="1" t="str">
        <f t="shared" ca="1" si="14"/>
        <v>1</v>
      </c>
      <c r="R27" s="1" t="str">
        <f t="shared" ca="1" si="14"/>
        <v/>
      </c>
      <c r="S27" s="8" t="str">
        <f t="shared" ca="1" si="14"/>
        <v/>
      </c>
      <c r="T27" s="43" t="str">
        <f t="shared" ca="1" si="14"/>
        <v/>
      </c>
      <c r="V27" s="7" t="s">
        <v>21</v>
      </c>
      <c r="W27" s="8">
        <f ca="1">MOD(RANDBETWEEN(1,1000),7)+1</f>
        <v>2</v>
      </c>
      <c r="Y27" s="7" t="s">
        <v>21</v>
      </c>
      <c r="Z27" s="8">
        <v>3</v>
      </c>
      <c r="AB27" s="55">
        <v>0</v>
      </c>
      <c r="AD27" s="56">
        <v>0</v>
      </c>
      <c r="AF27" s="56">
        <v>500</v>
      </c>
      <c r="AH27" s="56">
        <v>20</v>
      </c>
    </row>
    <row r="28" spans="1:55" ht="14.7" thickBot="1" x14ac:dyDescent="0.6">
      <c r="A28" s="53" t="str">
        <f ca="1">IF(AND(AND(COLUMN()&gt;$P$3-1,COLUMN()&lt;$P$3+4),AND(ROW()&gt;$Q$3-1,ROW()&lt;$Q$3+4)),IF(INDIRECT("R"&amp;ROW()-$Q$3+$S$3*6-3&amp;"C"&amp;COLUMN()-$P$3+$R$3*5+17,FALSE)=1,$R$3+2,""),"")</f>
        <v/>
      </c>
      <c r="O28" s="39" t="str">
        <f t="shared" ca="1" si="14"/>
        <v/>
      </c>
      <c r="P28" s="7" t="str">
        <f t="shared" ca="1" si="14"/>
        <v/>
      </c>
      <c r="Q28" s="1" t="str">
        <f t="shared" ca="1" si="14"/>
        <v>1</v>
      </c>
      <c r="R28" s="1" t="str">
        <f t="shared" ca="1" si="14"/>
        <v/>
      </c>
      <c r="S28" s="8" t="str">
        <f t="shared" ca="1" si="14"/>
        <v/>
      </c>
      <c r="T28" s="43" t="str">
        <f t="shared" ca="1" si="14"/>
        <v/>
      </c>
      <c r="V28" s="9" t="s">
        <v>22</v>
      </c>
      <c r="W28" s="10">
        <v>1</v>
      </c>
      <c r="Y28" s="9" t="s">
        <v>22</v>
      </c>
      <c r="Z28" s="10">
        <v>1</v>
      </c>
      <c r="AB28" s="56">
        <v>0</v>
      </c>
    </row>
    <row r="29" spans="1:55" ht="14.7" thickBot="1" x14ac:dyDescent="0.6">
      <c r="O29" s="39" t="str">
        <f t="shared" ca="1" si="14"/>
        <v/>
      </c>
      <c r="P29" s="9" t="str">
        <f t="shared" ca="1" si="14"/>
        <v/>
      </c>
      <c r="Q29" s="3" t="str">
        <f t="shared" ca="1" si="14"/>
        <v>1</v>
      </c>
      <c r="R29" s="3" t="str">
        <f t="shared" ca="1" si="14"/>
        <v>1</v>
      </c>
      <c r="S29" s="10" t="str">
        <f t="shared" ca="1" si="14"/>
        <v/>
      </c>
      <c r="T29" s="43" t="str">
        <f t="shared" ca="1" si="14"/>
        <v/>
      </c>
    </row>
    <row r="30" spans="1:55" ht="14.7" thickBot="1" x14ac:dyDescent="0.6">
      <c r="O30" s="40" t="str">
        <f t="shared" ca="1" si="14"/>
        <v/>
      </c>
      <c r="P30" s="41" t="str">
        <f t="shared" ca="1" si="14"/>
        <v/>
      </c>
      <c r="Q30" s="41" t="str">
        <f t="shared" ca="1" si="14"/>
        <v/>
      </c>
      <c r="R30" s="41" t="str">
        <f t="shared" ca="1" si="14"/>
        <v/>
      </c>
      <c r="S30" s="41" t="str">
        <f t="shared" ca="1" si="14"/>
        <v/>
      </c>
      <c r="T30" s="42" t="str">
        <f t="shared" ca="1" si="14"/>
        <v/>
      </c>
      <c r="V30" s="67" t="s">
        <v>35</v>
      </c>
      <c r="X30" s="67" t="s">
        <v>25</v>
      </c>
    </row>
    <row r="31" spans="1:55" ht="14.7" thickBot="1" x14ac:dyDescent="0.6">
      <c r="V31" s="52" t="b">
        <v>1</v>
      </c>
      <c r="X31" s="52" t="b">
        <f ca="1" xml:space="preserve"> IF(AND($Q$3=1,$T$11=FALSE),TRUE,FALSE)</f>
        <v>0</v>
      </c>
    </row>
    <row r="32" spans="1:55" ht="14.7" thickBot="1" x14ac:dyDescent="0.6">
      <c r="P32" s="101" t="s">
        <v>18</v>
      </c>
      <c r="Q32" s="102"/>
      <c r="R32" s="102"/>
      <c r="S32" s="102"/>
      <c r="T32" s="57" t="b">
        <f ca="1">IF(COUNTIF(O33:T37,"3")=0,TRUE,FALSE)</f>
        <v>1</v>
      </c>
    </row>
    <row r="33" spans="15:20" x14ac:dyDescent="0.55000000000000004">
      <c r="O33" s="38" t="str">
        <f t="shared" ref="O33:T33" ca="1" si="15">_xlfn.IFS(AND(INDIRECT("R"&amp;ROW()-33+6*IF($S$3=1,4,$S$3-1)-3&amp;"C"&amp;COLUMN()-16+5*$R$3+17,FALSE)=1,OR(AND(INDIRECT("R"&amp;ROW()-33+$Q$3&amp;"C"&amp;COLUMN()-16+$P$3,FALSE)&gt;12,NOT(INDIRECT("R"&amp;ROW()-33+$Q$3&amp;"C"&amp;COLUMN()-16+$P$3,FALSE)="")),INDIRECT("R"&amp;ROW()-33+$Q$3&amp;"C"&amp;COLUMN()-16+$P$3,FALSE)="tetris")),3,TRUE,IF(INDIRECT("R"&amp;ROW()-33+6*IF($S$3=1,4,$S$3-1)-3&amp;"C"&amp;COLUMN()-16+5*$R$3+17,FALSE)=1,1,"")&amp;IF(AND(ISNUMBER(INDIRECT("R"&amp;ROW()-33+$Q$3&amp;"C"&amp;COLUMN()-16+$P$3,FALSE)),INDIRECT("R"&amp;ROW()-33+$Q$3&amp;"C"&amp;COLUMN()-16+$P$3,FALSE)&gt;12),2,""))</f>
        <v/>
      </c>
      <c r="P33" s="4" t="str">
        <f t="shared" ca="1" si="15"/>
        <v/>
      </c>
      <c r="Q33" s="5" t="str">
        <f t="shared" ca="1" si="15"/>
        <v/>
      </c>
      <c r="R33" s="5" t="str">
        <f t="shared" ca="1" si="15"/>
        <v/>
      </c>
      <c r="S33" s="6" t="str">
        <f t="shared" ca="1" si="15"/>
        <v/>
      </c>
      <c r="T33" s="58" t="str">
        <f t="shared" ca="1" si="15"/>
        <v/>
      </c>
    </row>
    <row r="34" spans="15:20" x14ac:dyDescent="0.55000000000000004">
      <c r="O34" s="39" t="str">
        <f t="shared" ref="O34:T37" ca="1" si="16">_xlfn.IFS(AND(INDIRECT("R"&amp;ROW()-33+6*IF($S$3=1,4,$S$3-1)-3&amp;"C"&amp;COLUMN()-16+5*$R$3+17,FALSE)=1,OR(AND(INDIRECT("R"&amp;ROW()-33+$Q$3&amp;"C"&amp;COLUMN()-16+$P$3,FALSE)&gt;12,NOT(INDIRECT("R"&amp;ROW()-33+$Q$3&amp;"C"&amp;COLUMN()-16+$P$3,FALSE)="")),INDIRECT("R"&amp;ROW()-33+$Q$3&amp;"C"&amp;COLUMN()-16+$P$3,FALSE)="tetris")),3,TRUE,IF(INDIRECT("R"&amp;ROW()-33+6*IF($S$3=1,4,$S$3-1)-3&amp;"C"&amp;COLUMN()-16+5*$R$3+17,FALSE)=1,1,"")&amp;IF(AND(ISNUMBER(INDIRECT("R"&amp;ROW()-33+$Q$3&amp;"C"&amp;COLUMN()-16+$P$3,FALSE)),INDIRECT("R"&amp;ROW()-33+$Q$3&amp;"C"&amp;COLUMN()-16+$P$3,FALSE)&gt;12),2,""))</f>
        <v/>
      </c>
      <c r="P34" s="7" t="str">
        <f t="shared" ca="1" si="16"/>
        <v/>
      </c>
      <c r="Q34" s="1" t="str">
        <f t="shared" ca="1" si="16"/>
        <v/>
      </c>
      <c r="R34" s="1" t="str">
        <f t="shared" ca="1" si="16"/>
        <v/>
      </c>
      <c r="S34" s="8" t="str">
        <f t="shared" ca="1" si="16"/>
        <v/>
      </c>
      <c r="T34" s="43" t="str">
        <f t="shared" ca="1" si="16"/>
        <v/>
      </c>
    </row>
    <row r="35" spans="15:20" x14ac:dyDescent="0.55000000000000004">
      <c r="O35" s="39" t="str">
        <f t="shared" ca="1" si="16"/>
        <v/>
      </c>
      <c r="P35" s="7" t="str">
        <f t="shared" ca="1" si="16"/>
        <v/>
      </c>
      <c r="Q35" s="1" t="str">
        <f t="shared" ca="1" si="16"/>
        <v/>
      </c>
      <c r="R35" s="1" t="str">
        <f t="shared" ca="1" si="16"/>
        <v>1</v>
      </c>
      <c r="S35" s="8" t="str">
        <f t="shared" ca="1" si="16"/>
        <v/>
      </c>
      <c r="T35" s="43" t="str">
        <f t="shared" ca="1" si="16"/>
        <v/>
      </c>
    </row>
    <row r="36" spans="15:20" ht="14.7" thickBot="1" x14ac:dyDescent="0.6">
      <c r="O36" s="39" t="str">
        <f t="shared" ca="1" si="16"/>
        <v/>
      </c>
      <c r="P36" s="9" t="str">
        <f t="shared" ca="1" si="16"/>
        <v>1</v>
      </c>
      <c r="Q36" s="3" t="str">
        <f t="shared" ca="1" si="16"/>
        <v>1</v>
      </c>
      <c r="R36" s="3" t="str">
        <f t="shared" ca="1" si="16"/>
        <v>1</v>
      </c>
      <c r="S36" s="10" t="str">
        <f t="shared" ca="1" si="16"/>
        <v/>
      </c>
      <c r="T36" s="43" t="str">
        <f t="shared" ca="1" si="16"/>
        <v/>
      </c>
    </row>
    <row r="37" spans="15:20" ht="14.7" thickBot="1" x14ac:dyDescent="0.6">
      <c r="O37" s="40" t="str">
        <f t="shared" ca="1" si="16"/>
        <v/>
      </c>
      <c r="P37" s="41" t="str">
        <f t="shared" ca="1" si="16"/>
        <v/>
      </c>
      <c r="Q37" s="41" t="str">
        <f t="shared" ca="1" si="16"/>
        <v/>
      </c>
      <c r="R37" s="41" t="str">
        <f t="shared" ca="1" si="16"/>
        <v/>
      </c>
      <c r="S37" s="41" t="str">
        <f t="shared" ca="1" si="16"/>
        <v/>
      </c>
      <c r="T37" s="42" t="str">
        <f t="shared" ca="1" si="16"/>
        <v/>
      </c>
    </row>
    <row r="39" spans="15:20" ht="14.7" thickBot="1" x14ac:dyDescent="0.6">
      <c r="P39" s="101" t="s">
        <v>19</v>
      </c>
      <c r="Q39" s="102"/>
      <c r="R39" s="102"/>
      <c r="S39" s="102"/>
      <c r="T39" s="57" t="b">
        <f ca="1">IF(COUNTIF(O40:T44,"3")=0,TRUE,FALSE)</f>
        <v>1</v>
      </c>
    </row>
    <row r="40" spans="15:20" x14ac:dyDescent="0.55000000000000004">
      <c r="O40" s="38" t="str">
        <f t="shared" ref="O40:T40" ca="1" si="17">_xlfn.IFS(AND(INDIRECT("R"&amp;ROW()-40+6*IF($S$3=4,1,$S$3+1)-3&amp;"C"&amp;COLUMN()-16+5*$R$3+17,FALSE)=1,OR(AND(INDIRECT("R"&amp;ROW()-40+$Q$3&amp;"C"&amp;COLUMN()-16+$P$3,FALSE)&gt;12,NOT(INDIRECT("R"&amp;ROW()-40+$Q$3&amp;"C"&amp;COLUMN()-16+$P$3,FALSE)="")),INDIRECT("R"&amp;ROW()-40+$Q$3&amp;"C"&amp;COLUMN()-16+$P$3,FALSE)="tetris")),3,TRUE,IF(INDIRECT("R"&amp;ROW()-40+6*IF($S$3=4,1,$S$3+1)-3&amp;"C"&amp;COLUMN()-16+5*$R$3+17,FALSE)=1,1,"")&amp;IF(AND(ISNUMBER(INDIRECT("R"&amp;ROW()-40+$Q$3&amp;"C"&amp;COLUMN()-16+$P$3,FALSE)),INDIRECT("R"&amp;ROW()-40+$Q$3&amp;"C"&amp;COLUMN()-16+$P$3,FALSE)&gt;12),2,""))</f>
        <v/>
      </c>
      <c r="P40" s="4" t="str">
        <f t="shared" ca="1" si="17"/>
        <v/>
      </c>
      <c r="Q40" s="5" t="str">
        <f t="shared" ca="1" si="17"/>
        <v/>
      </c>
      <c r="R40" s="5" t="str">
        <f t="shared" ca="1" si="17"/>
        <v/>
      </c>
      <c r="S40" s="6" t="str">
        <f t="shared" ca="1" si="17"/>
        <v/>
      </c>
      <c r="T40" s="43" t="str">
        <f t="shared" ca="1" si="17"/>
        <v/>
      </c>
    </row>
    <row r="41" spans="15:20" x14ac:dyDescent="0.55000000000000004">
      <c r="O41" s="39" t="str">
        <f t="shared" ref="O41:T44" ca="1" si="18">_xlfn.IFS(AND(INDIRECT("R"&amp;ROW()-40+6*IF($S$3=4,1,$S$3+1)-3&amp;"C"&amp;COLUMN()-16+5*$R$3+17,FALSE)=1,OR(AND(INDIRECT("R"&amp;ROW()-40+$Q$3&amp;"C"&amp;COLUMN()-16+$P$3,FALSE)&gt;12,NOT(INDIRECT("R"&amp;ROW()-40+$Q$3&amp;"C"&amp;COLUMN()-16+$P$3,FALSE)="")),INDIRECT("R"&amp;ROW()-40+$Q$3&amp;"C"&amp;COLUMN()-16+$P$3,FALSE)="tetris")),3,TRUE,IF(INDIRECT("R"&amp;ROW()-40+6*IF($S$3=4,1,$S$3+1)-3&amp;"C"&amp;COLUMN()-16+5*$R$3+17,FALSE)=1,1,"")&amp;IF(AND(ISNUMBER(INDIRECT("R"&amp;ROW()-40+$Q$3&amp;"C"&amp;COLUMN()-16+$P$3,FALSE)),INDIRECT("R"&amp;ROW()-40+$Q$3&amp;"C"&amp;COLUMN()-16+$P$3,FALSE)&gt;12),2,""))</f>
        <v/>
      </c>
      <c r="P41" s="7" t="str">
        <f t="shared" ca="1" si="18"/>
        <v/>
      </c>
      <c r="Q41" s="1" t="str">
        <f t="shared" ca="1" si="18"/>
        <v/>
      </c>
      <c r="R41" s="1" t="str">
        <f t="shared" ca="1" si="18"/>
        <v/>
      </c>
      <c r="S41" s="8" t="str">
        <f t="shared" ca="1" si="18"/>
        <v/>
      </c>
      <c r="T41" s="43" t="str">
        <f t="shared" ca="1" si="18"/>
        <v/>
      </c>
    </row>
    <row r="42" spans="15:20" x14ac:dyDescent="0.55000000000000004">
      <c r="O42" s="39" t="str">
        <f t="shared" ca="1" si="18"/>
        <v/>
      </c>
      <c r="P42" s="7" t="str">
        <f t="shared" ca="1" si="18"/>
        <v/>
      </c>
      <c r="Q42" s="1" t="str">
        <f t="shared" ca="1" si="18"/>
        <v>1</v>
      </c>
      <c r="R42" s="1" t="str">
        <f t="shared" ca="1" si="18"/>
        <v>1</v>
      </c>
      <c r="S42" s="8" t="str">
        <f t="shared" ca="1" si="18"/>
        <v>1</v>
      </c>
      <c r="T42" s="43" t="str">
        <f t="shared" ca="1" si="18"/>
        <v/>
      </c>
    </row>
    <row r="43" spans="15:20" ht="14.7" thickBot="1" x14ac:dyDescent="0.6">
      <c r="O43" s="39" t="str">
        <f t="shared" ca="1" si="18"/>
        <v/>
      </c>
      <c r="P43" s="9" t="str">
        <f t="shared" ca="1" si="18"/>
        <v/>
      </c>
      <c r="Q43" s="3" t="str">
        <f t="shared" ca="1" si="18"/>
        <v>1</v>
      </c>
      <c r="R43" s="3" t="str">
        <f t="shared" ca="1" si="18"/>
        <v/>
      </c>
      <c r="S43" s="10" t="str">
        <f t="shared" ca="1" si="18"/>
        <v/>
      </c>
      <c r="T43" s="43" t="str">
        <f t="shared" ca="1" si="18"/>
        <v/>
      </c>
    </row>
    <row r="44" spans="15:20" ht="14.7" thickBot="1" x14ac:dyDescent="0.6">
      <c r="O44" s="40" t="str">
        <f t="shared" ca="1" si="18"/>
        <v/>
      </c>
      <c r="P44" s="41" t="str">
        <f t="shared" ca="1" si="18"/>
        <v/>
      </c>
      <c r="Q44" s="41" t="str">
        <f t="shared" ca="1" si="18"/>
        <v/>
      </c>
      <c r="R44" s="41" t="str">
        <f t="shared" ca="1" si="18"/>
        <v/>
      </c>
      <c r="S44" s="41" t="str">
        <f t="shared" ca="1" si="18"/>
        <v/>
      </c>
      <c r="T44" s="42" t="str">
        <f t="shared" ca="1" si="18"/>
        <v/>
      </c>
    </row>
  </sheetData>
  <mergeCells count="47">
    <mergeCell ref="AF1:AI1"/>
    <mergeCell ref="AG2:AH2"/>
    <mergeCell ref="AG8:AH8"/>
    <mergeCell ref="AQ20:AR20"/>
    <mergeCell ref="AV2:AW2"/>
    <mergeCell ref="AV8:AW8"/>
    <mergeCell ref="AV14:AW14"/>
    <mergeCell ref="AK1:AN1"/>
    <mergeCell ref="AL2:AM2"/>
    <mergeCell ref="AL8:AM8"/>
    <mergeCell ref="AB8:AC8"/>
    <mergeCell ref="F1:F4"/>
    <mergeCell ref="G1:G4"/>
    <mergeCell ref="Y26:Z26"/>
    <mergeCell ref="AV20:AW20"/>
    <mergeCell ref="AL14:AM14"/>
    <mergeCell ref="AL20:AM20"/>
    <mergeCell ref="AB14:AC14"/>
    <mergeCell ref="AG14:AH14"/>
    <mergeCell ref="AG20:AH20"/>
    <mergeCell ref="AU1:AX1"/>
    <mergeCell ref="AB20:AC20"/>
    <mergeCell ref="AP1:AS1"/>
    <mergeCell ref="AQ2:AR2"/>
    <mergeCell ref="AQ8:AR8"/>
    <mergeCell ref="AQ14:AR14"/>
    <mergeCell ref="BA20:BB20"/>
    <mergeCell ref="P32:S32"/>
    <mergeCell ref="P39:S39"/>
    <mergeCell ref="V1:Y1"/>
    <mergeCell ref="W2:X2"/>
    <mergeCell ref="P11:S11"/>
    <mergeCell ref="P18:S18"/>
    <mergeCell ref="P25:S25"/>
    <mergeCell ref="W20:X20"/>
    <mergeCell ref="W8:X8"/>
    <mergeCell ref="P1:S1"/>
    <mergeCell ref="P4:S4"/>
    <mergeCell ref="V26:W26"/>
    <mergeCell ref="W14:X14"/>
    <mergeCell ref="AA1:AD1"/>
    <mergeCell ref="AB2:AC2"/>
    <mergeCell ref="BE1:BH1"/>
    <mergeCell ref="AZ1:BC1"/>
    <mergeCell ref="BA2:BB2"/>
    <mergeCell ref="BA8:BB8"/>
    <mergeCell ref="BA14:BB14"/>
  </mergeCells>
  <conditionalFormatting sqref="O5:T9 T11">
    <cfRule type="cellIs" dxfId="46" priority="62" operator="equal">
      <formula>3</formula>
    </cfRule>
  </conditionalFormatting>
  <conditionalFormatting sqref="O12:T16">
    <cfRule type="cellIs" dxfId="45" priority="51" operator="equal">
      <formula>3</formula>
    </cfRule>
  </conditionalFormatting>
  <conditionalFormatting sqref="O20:T23 P19:T19">
    <cfRule type="cellIs" dxfId="44" priority="50" operator="equal">
      <formula>3</formula>
    </cfRule>
  </conditionalFormatting>
  <conditionalFormatting sqref="O26:T30">
    <cfRule type="cellIs" dxfId="43" priority="49" operator="equal">
      <formula>3</formula>
    </cfRule>
  </conditionalFormatting>
  <conditionalFormatting sqref="O33:T37">
    <cfRule type="cellIs" dxfId="42" priority="48" operator="equal">
      <formula>3</formula>
    </cfRule>
  </conditionalFormatting>
  <conditionalFormatting sqref="O40:T44">
    <cfRule type="cellIs" dxfId="41" priority="47" operator="equal">
      <formula>3</formula>
    </cfRule>
  </conditionalFormatting>
  <conditionalFormatting sqref="T18">
    <cfRule type="cellIs" dxfId="40" priority="46" operator="equal">
      <formula>3</formula>
    </cfRule>
  </conditionalFormatting>
  <conditionalFormatting sqref="T25">
    <cfRule type="cellIs" dxfId="39" priority="45" operator="equal">
      <formula>3</formula>
    </cfRule>
  </conditionalFormatting>
  <conditionalFormatting sqref="T32">
    <cfRule type="cellIs" dxfId="38" priority="44" operator="equal">
      <formula>3</formula>
    </cfRule>
  </conditionalFormatting>
  <conditionalFormatting sqref="T39">
    <cfRule type="cellIs" dxfId="37" priority="43" operator="equal">
      <formula>3</formula>
    </cfRule>
  </conditionalFormatting>
  <conditionalFormatting sqref="T11 T18 T32 T39 T25">
    <cfRule type="cellIs" dxfId="36" priority="41" operator="equal">
      <formula>FALSE</formula>
    </cfRule>
    <cfRule type="cellIs" dxfId="35" priority="42" operator="equal">
      <formula>TRUE</formula>
    </cfRule>
  </conditionalFormatting>
  <conditionalFormatting sqref="X31">
    <cfRule type="cellIs" dxfId="34" priority="38" operator="equal">
      <formula>TRUE</formula>
    </cfRule>
    <cfRule type="cellIs" dxfId="33" priority="39" operator="equal">
      <formula>FALSE</formula>
    </cfRule>
  </conditionalFormatting>
  <conditionalFormatting sqref="O19">
    <cfRule type="cellIs" dxfId="32" priority="37" operator="equal">
      <formula>3</formula>
    </cfRule>
  </conditionalFormatting>
  <conditionalFormatting sqref="B5:K24">
    <cfRule type="cellIs" dxfId="31" priority="4" operator="equal">
      <formula>19</formula>
    </cfRule>
    <cfRule type="cellIs" dxfId="30" priority="5" operator="equal">
      <formula>18</formula>
    </cfRule>
    <cfRule type="cellIs" dxfId="29" priority="23" operator="equal">
      <formula>17</formula>
    </cfRule>
    <cfRule type="cellIs" dxfId="28" priority="24" operator="equal">
      <formula>16</formula>
    </cfRule>
    <cfRule type="cellIs" dxfId="27" priority="25" operator="equal">
      <formula>15</formula>
    </cfRule>
    <cfRule type="cellIs" dxfId="26" priority="26" operator="equal">
      <formula>14</formula>
    </cfRule>
    <cfRule type="cellIs" dxfId="25" priority="27" operator="equal">
      <formula>13</formula>
    </cfRule>
    <cfRule type="cellIs" dxfId="24" priority="28" operator="equal">
      <formula>9</formula>
    </cfRule>
    <cfRule type="cellIs" dxfId="23" priority="29" operator="equal">
      <formula>8</formula>
    </cfRule>
    <cfRule type="cellIs" dxfId="22" priority="30" operator="equal">
      <formula>7</formula>
    </cfRule>
    <cfRule type="cellIs" dxfId="21" priority="31" operator="equal">
      <formula>6</formula>
    </cfRule>
    <cfRule type="cellIs" dxfId="20" priority="32" operator="equal">
      <formula>5</formula>
    </cfRule>
    <cfRule type="cellIs" dxfId="19" priority="33" operator="equal">
      <formula>4</formula>
    </cfRule>
    <cfRule type="cellIs" dxfId="18" priority="34" operator="equal">
      <formula>3</formula>
    </cfRule>
  </conditionalFormatting>
  <conditionalFormatting sqref="T25">
    <cfRule type="cellIs" dxfId="17" priority="9" operator="equal">
      <formula>3</formula>
    </cfRule>
  </conditionalFormatting>
  <conditionalFormatting sqref="C2:D3">
    <cfRule type="cellIs" dxfId="16" priority="63" operator="equal">
      <formula>IF($Z$27=1,0,1)</formula>
    </cfRule>
  </conditionalFormatting>
  <conditionalFormatting sqref="D1:D4">
    <cfRule type="cellIs" dxfId="15" priority="64" operator="equal">
      <formula>IF($Z$27=2,0,1)</formula>
    </cfRule>
  </conditionalFormatting>
  <conditionalFormatting sqref="C2:C4 D4">
    <cfRule type="cellIs" dxfId="14" priority="65" operator="equal">
      <formula>IF($Z$27=3,0,1)</formula>
    </cfRule>
  </conditionalFormatting>
  <conditionalFormatting sqref="D2:D3 C4:D4">
    <cfRule type="cellIs" dxfId="13" priority="67" operator="equal">
      <formula>IF($Z$27=4,0,1)</formula>
    </cfRule>
  </conditionalFormatting>
  <conditionalFormatting sqref="D2:D3 C3:C4">
    <cfRule type="cellIs" dxfId="12" priority="69" operator="equal">
      <formula>IF($Z$27=5,0,1)</formula>
    </cfRule>
  </conditionalFormatting>
  <conditionalFormatting sqref="C2:C3 D3:D4">
    <cfRule type="cellIs" dxfId="11" priority="71" operator="equal">
      <formula>IF($Z$27=6,0,1)</formula>
    </cfRule>
  </conditionalFormatting>
  <conditionalFormatting sqref="I2:J3">
    <cfRule type="cellIs" dxfId="10" priority="72" operator="equal">
      <formula>IF($AB$27=1,0,1)</formula>
    </cfRule>
  </conditionalFormatting>
  <conditionalFormatting sqref="I1:I4">
    <cfRule type="cellIs" dxfId="9" priority="73" operator="equal">
      <formula>IF($AB$27=2,0,1)</formula>
    </cfRule>
  </conditionalFormatting>
  <conditionalFormatting sqref="I2:I4 J4">
    <cfRule type="cellIs" dxfId="8" priority="74" operator="equal">
      <formula>IF($AB$27=3,0,1)</formula>
    </cfRule>
  </conditionalFormatting>
  <conditionalFormatting sqref="J2:J3 I4:J4">
    <cfRule type="cellIs" dxfId="7" priority="76" operator="equal">
      <formula>IF($AB$27=4,0,1)</formula>
    </cfRule>
  </conditionalFormatting>
  <conditionalFormatting sqref="J2:J3 I3:I4">
    <cfRule type="cellIs" dxfId="6" priority="78" operator="equal">
      <formula>IF($AB$27=5,0,1)</formula>
    </cfRule>
  </conditionalFormatting>
  <conditionalFormatting sqref="I2:I3 J3:J4">
    <cfRule type="cellIs" dxfId="5" priority="80" operator="equal">
      <formula>IF($AB$27=6,0,1)</formula>
    </cfRule>
  </conditionalFormatting>
  <conditionalFormatting sqref="V31">
    <cfRule type="cellIs" dxfId="4" priority="6" operator="equal">
      <formula>FALSE</formula>
    </cfRule>
    <cfRule type="cellIs" dxfId="3" priority="7" operator="equal">
      <formula>TRUE</formula>
    </cfRule>
  </conditionalFormatting>
  <conditionalFormatting sqref="I2 H3:J3">
    <cfRule type="cellIs" dxfId="2" priority="2" operator="equal">
      <formula>IF($AB$27=7,0,"Beans")</formula>
    </cfRule>
  </conditionalFormatting>
  <conditionalFormatting sqref="D2 C3:E3">
    <cfRule type="cellIs" dxfId="1" priority="1" operator="equal">
      <formula>IF($Z$27=7,0,"Beans")</formula>
    </cfRule>
  </conditionalFormatting>
  <conditionalFormatting sqref="B25:K26 L1:L26 A1:A26">
    <cfRule type="cellIs" dxfId="0" priority="81" operator="equal">
      <formula>IF($X$31=TRUE,"TETRIS","Beans")</formula>
    </cfRule>
  </conditionalFormatting>
  <pageMargins left="0.7" right="0.7" top="0.75" bottom="0.75" header="0.3" footer="0.3"/>
  <pageSetup orientation="portrait" r:id="rId1"/>
  <cellWatches>
    <cellWatch r="T11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veLeft">
                <anchor moveWithCells="1" sizeWithCells="1">
                  <from>
                    <xdr:col>12</xdr:col>
                    <xdr:colOff>11430</xdr:colOff>
                    <xdr:row>4</xdr:row>
                    <xdr:rowOff>76200</xdr:rowOff>
                  </from>
                  <to>
                    <xdr:col>12</xdr:col>
                    <xdr:colOff>609600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veRight">
                <anchor moveWithCells="1" sizeWithCells="1">
                  <from>
                    <xdr:col>12</xdr:col>
                    <xdr:colOff>647700</xdr:colOff>
                    <xdr:row>4</xdr:row>
                    <xdr:rowOff>76200</xdr:rowOff>
                  </from>
                  <to>
                    <xdr:col>13</xdr:col>
                    <xdr:colOff>11430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otateLeft">
                <anchor moveWithCells="1" sizeWithCells="1">
                  <from>
                    <xdr:col>12</xdr:col>
                    <xdr:colOff>0</xdr:colOff>
                    <xdr:row>5</xdr:row>
                    <xdr:rowOff>190500</xdr:rowOff>
                  </from>
                  <to>
                    <xdr:col>12</xdr:col>
                    <xdr:colOff>601980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otateRight">
                <anchor moveWithCells="1" sizeWithCells="1">
                  <from>
                    <xdr:col>12</xdr:col>
                    <xdr:colOff>640080</xdr:colOff>
                    <xdr:row>5</xdr:row>
                    <xdr:rowOff>190500</xdr:rowOff>
                  </from>
                  <to>
                    <xdr:col>13</xdr:col>
                    <xdr:colOff>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setButton">
                <anchor moveWithCells="1" sizeWithCells="1">
                  <from>
                    <xdr:col>12</xdr:col>
                    <xdr:colOff>57150</xdr:colOff>
                    <xdr:row>0</xdr:row>
                    <xdr:rowOff>49530</xdr:rowOff>
                  </from>
                  <to>
                    <xdr:col>12</xdr:col>
                    <xdr:colOff>1162050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FullDrop">
                <anchor moveWithCells="1" sizeWithCells="1">
                  <from>
                    <xdr:col>12</xdr:col>
                    <xdr:colOff>201930</xdr:colOff>
                    <xdr:row>7</xdr:row>
                    <xdr:rowOff>76200</xdr:rowOff>
                  </from>
                  <to>
                    <xdr:col>12</xdr:col>
                    <xdr:colOff>1028700</xdr:colOff>
                    <xdr:row>9</xdr:row>
                    <xdr:rowOff>49530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unGame">
                <anchor moveWithCells="1" sizeWithCells="1">
                  <from>
                    <xdr:col>12</xdr:col>
                    <xdr:colOff>95250</xdr:colOff>
                    <xdr:row>2</xdr:row>
                    <xdr:rowOff>30480</xdr:rowOff>
                  </from>
                  <to>
                    <xdr:col>12</xdr:col>
                    <xdr:colOff>1162050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1" name="Button 91">
              <controlPr defaultSize="0" print="0" autoFill="0" autoPict="0" macro="[0]!StorePiece">
                <anchor moveWithCells="1" sizeWithCells="1">
                  <from>
                    <xdr:col>12</xdr:col>
                    <xdr:colOff>201930</xdr:colOff>
                    <xdr:row>9</xdr:row>
                    <xdr:rowOff>114300</xdr:rowOff>
                  </from>
                  <to>
                    <xdr:col>12</xdr:col>
                    <xdr:colOff>1028700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12" name="Paused">
              <controlPr defaultSize="0" print="0" autoFill="0" autoPict="0" macro="[0]!PauseButton">
                <anchor moveWithCells="1" sizeWithCells="1">
                  <from>
                    <xdr:col>12</xdr:col>
                    <xdr:colOff>87630</xdr:colOff>
                    <xdr:row>11</xdr:row>
                    <xdr:rowOff>11430</xdr:rowOff>
                  </from>
                  <to>
                    <xdr:col>12</xdr:col>
                    <xdr:colOff>1085850</xdr:colOff>
                    <xdr:row>12</xdr:row>
                    <xdr:rowOff>49530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BDD6-B458-46B7-8777-F55A2A874482}">
  <sheetPr codeName="Sheet1"/>
  <dimension ref="A1:J12"/>
  <sheetViews>
    <sheetView workbookViewId="0">
      <selection activeCell="F23" sqref="F23"/>
    </sheetView>
  </sheetViews>
  <sheetFormatPr defaultRowHeight="14.4" x14ac:dyDescent="0.55000000000000004"/>
  <cols>
    <col min="1" max="1" width="13.26171875" customWidth="1"/>
    <col min="2" max="2" width="14.83984375" customWidth="1"/>
    <col min="3" max="3" width="15.83984375" bestFit="1" customWidth="1"/>
    <col min="9" max="9" width="28.83984375" customWidth="1"/>
    <col min="10" max="10" width="12.68359375" hidden="1" customWidth="1"/>
  </cols>
  <sheetData>
    <row r="1" spans="1:10" x14ac:dyDescent="0.55000000000000004">
      <c r="A1" s="117" t="s">
        <v>41</v>
      </c>
      <c r="B1" s="117"/>
      <c r="C1" s="117"/>
      <c r="F1" s="117" t="s">
        <v>40</v>
      </c>
      <c r="G1" s="117"/>
      <c r="H1" s="117"/>
      <c r="I1" s="117"/>
    </row>
    <row r="2" spans="1:10" x14ac:dyDescent="0.55000000000000004">
      <c r="A2" t="s">
        <v>38</v>
      </c>
      <c r="B2" t="s">
        <v>37</v>
      </c>
      <c r="C2" t="s">
        <v>44</v>
      </c>
      <c r="F2" t="s">
        <v>39</v>
      </c>
      <c r="G2" t="s">
        <v>37</v>
      </c>
      <c r="H2" t="s">
        <v>38</v>
      </c>
      <c r="I2" t="s">
        <v>44</v>
      </c>
      <c r="J2" t="s">
        <v>42</v>
      </c>
    </row>
    <row r="3" spans="1:10" x14ac:dyDescent="0.55000000000000004">
      <c r="A3">
        <v>366982</v>
      </c>
      <c r="B3" t="s">
        <v>43</v>
      </c>
      <c r="C3" s="82">
        <v>43697.389861111114</v>
      </c>
      <c r="F3">
        <v>1</v>
      </c>
      <c r="G3" t="str">
        <f>IF(ISERROR(VLOOKUP(H3,A:C,2,FALSE)),"",VLOOKUP(H3,A:C,2,FALSE))</f>
        <v>Will M.</v>
      </c>
      <c r="H3">
        <f>IF(MAX(A:A)=0,"",MAX(A:A))</f>
        <v>366982</v>
      </c>
      <c r="I3" s="81">
        <f>IF(ISERROR(VLOOKUP(H3,A:C,3,FALSE)),"",VLOOKUP(H3,A:C,3,FALSE))</f>
        <v>43697.389861111114</v>
      </c>
      <c r="J3">
        <f>IF(ISERROR(MATCH(H3,A:A,0)),"",MATCH(H3,A:A,0))</f>
        <v>3</v>
      </c>
    </row>
    <row r="4" spans="1:10" x14ac:dyDescent="0.55000000000000004">
      <c r="A4">
        <v>223661</v>
      </c>
      <c r="B4" t="s">
        <v>43</v>
      </c>
      <c r="C4" s="82">
        <v>43696.581122685187</v>
      </c>
      <c r="F4">
        <v>2</v>
      </c>
      <c r="G4" t="str">
        <f ca="1">IF(ISERROR(VLOOKUP($H4,INDIRECT("A"&amp;$J3+1&amp;":C1048576",TRUE),2,FALSE)),"",VLOOKUP($H4,INDIRECT("A"&amp;$J3+1&amp;":C1048576",TRUE),2,FALSE))</f>
        <v>Will M.</v>
      </c>
      <c r="H4">
        <f t="shared" ref="H4:H12" ca="1" si="0">IF(ISERROR(IF(MAX(INDIRECT("A"&amp; J3+1 &amp; ":A1048576",TRUE))=0,"",MAX(INDIRECT("A"&amp; J3+1 &amp; ":A1048576",TRUE)))),"",IF(MAX(INDIRECT("A"&amp; J3+1 &amp; ":A1048576",TRUE))=0,"",MAX(INDIRECT("A"&amp; J3+1 &amp; ":A1048576",TRUE))))</f>
        <v>223661</v>
      </c>
      <c r="I4" s="81">
        <f ca="1">IF(ISERROR(VLOOKUP($H4,INDIRECT("A"&amp;$J3+1&amp;":C1048576",TRUE),3,FALSE)),"",VLOOKUP($H4,INDIRECT("A"&amp;$J3+1&amp;":C1048576",TRUE),3,FALSE))</f>
        <v>43696.581122685187</v>
      </c>
      <c r="J4">
        <f ca="1">IF(ISERROR(MATCH($H4,INDIRECT("A"&amp;$J3+1&amp;":A1048576",TRUE),0)+$J3),"",MATCH($H4,INDIRECT("A"&amp;$J3+1&amp;":A1048576",TRUE),0)+$J3)</f>
        <v>4</v>
      </c>
    </row>
    <row r="5" spans="1:10" x14ac:dyDescent="0.55000000000000004">
      <c r="A5">
        <v>134961</v>
      </c>
      <c r="B5" t="s">
        <v>43</v>
      </c>
      <c r="C5" s="82">
        <v>43697.358888888892</v>
      </c>
      <c r="F5">
        <v>3</v>
      </c>
      <c r="G5" t="str">
        <f t="shared" ref="G5:G12" ca="1" si="1">IF(ISERROR(VLOOKUP($H5,INDIRECT("A"&amp;$J4+1&amp;":C1048576",TRUE),2,FALSE)),"",VLOOKUP($H5,INDIRECT("A"&amp;$J4+1&amp;":C1048576",TRUE),2,FALSE))</f>
        <v>Will M.</v>
      </c>
      <c r="H5">
        <f ca="1">IF(ISERROR(IF(MAX(INDIRECT("A"&amp; J4+1 &amp; ":A1048576",TRUE))=0,"",MAX(INDIRECT("A"&amp; J4+1 &amp; ":A1048576",TRUE)))),"",IF(MAX(INDIRECT("A"&amp; J4+1 &amp; ":A1048576",TRUE))=0,"",MAX(INDIRECT("A"&amp; J4+1 &amp; ":A1048576",TRUE))))</f>
        <v>134961</v>
      </c>
      <c r="I5" s="81">
        <f t="shared" ref="I5:I12" ca="1" si="2">IF(ISERROR(VLOOKUP($H5,INDIRECT("A"&amp;$J4+1&amp;":C1048576",TRUE),3,FALSE)),"",VLOOKUP($H5,INDIRECT("A"&amp;$J4+1&amp;":C1048576",TRUE),3,FALSE))</f>
        <v>43697.358888888892</v>
      </c>
      <c r="J5">
        <f t="shared" ref="J5:J12" ca="1" si="3">IF(ISERROR(MATCH($H5,INDIRECT("A"&amp;$J4+1&amp;":A1048576",TRUE),0)+$J4),"",MATCH($H5,INDIRECT("A"&amp;$J4+1&amp;":A1048576",TRUE),0)+$J4)</f>
        <v>5</v>
      </c>
    </row>
    <row r="6" spans="1:10" x14ac:dyDescent="0.55000000000000004">
      <c r="A6">
        <v>72867</v>
      </c>
      <c r="B6" t="s">
        <v>43</v>
      </c>
      <c r="C6" s="82">
        <v>43689.904189814813</v>
      </c>
      <c r="F6">
        <v>4</v>
      </c>
      <c r="G6" t="str">
        <f t="shared" ca="1" si="1"/>
        <v>Will M.</v>
      </c>
      <c r="H6">
        <f t="shared" ca="1" si="0"/>
        <v>72867</v>
      </c>
      <c r="I6" s="81">
        <f t="shared" ca="1" si="2"/>
        <v>43689.904189814813</v>
      </c>
      <c r="J6">
        <f t="shared" ca="1" si="3"/>
        <v>6</v>
      </c>
    </row>
    <row r="7" spans="1:10" x14ac:dyDescent="0.55000000000000004">
      <c r="A7">
        <v>18796</v>
      </c>
      <c r="B7" t="s">
        <v>43</v>
      </c>
      <c r="C7" s="82">
        <v>43696.597777777781</v>
      </c>
      <c r="F7">
        <v>5</v>
      </c>
      <c r="G7" t="str">
        <f t="shared" ca="1" si="1"/>
        <v>Will M.</v>
      </c>
      <c r="H7">
        <f t="shared" ca="1" si="0"/>
        <v>18796</v>
      </c>
      <c r="I7" s="81">
        <f t="shared" ca="1" si="2"/>
        <v>43696.597777777781</v>
      </c>
      <c r="J7">
        <f t="shared" ca="1" si="3"/>
        <v>7</v>
      </c>
    </row>
    <row r="8" spans="1:10" x14ac:dyDescent="0.55000000000000004">
      <c r="C8" s="82"/>
      <c r="F8">
        <v>6</v>
      </c>
      <c r="G8" t="str">
        <f t="shared" ca="1" si="1"/>
        <v/>
      </c>
      <c r="H8" t="str">
        <f t="shared" ca="1" si="0"/>
        <v/>
      </c>
      <c r="I8" s="81" t="str">
        <f t="shared" ca="1" si="2"/>
        <v/>
      </c>
      <c r="J8" t="str">
        <f t="shared" ca="1" si="3"/>
        <v/>
      </c>
    </row>
    <row r="9" spans="1:10" x14ac:dyDescent="0.55000000000000004">
      <c r="C9" s="82"/>
      <c r="F9">
        <v>7</v>
      </c>
      <c r="G9" t="str">
        <f t="shared" ca="1" si="1"/>
        <v/>
      </c>
      <c r="H9" t="str">
        <f t="shared" ca="1" si="0"/>
        <v/>
      </c>
      <c r="I9" s="81" t="str">
        <f t="shared" ca="1" si="2"/>
        <v/>
      </c>
      <c r="J9" t="str">
        <f t="shared" ca="1" si="3"/>
        <v/>
      </c>
    </row>
    <row r="10" spans="1:10" x14ac:dyDescent="0.55000000000000004">
      <c r="A10" s="82"/>
      <c r="C10" s="80"/>
      <c r="F10">
        <v>8</v>
      </c>
      <c r="G10" t="str">
        <f t="shared" ca="1" si="1"/>
        <v/>
      </c>
      <c r="H10" t="str">
        <f t="shared" ca="1" si="0"/>
        <v/>
      </c>
      <c r="I10" s="81" t="str">
        <f t="shared" ca="1" si="2"/>
        <v/>
      </c>
      <c r="J10" t="str">
        <f t="shared" ca="1" si="3"/>
        <v/>
      </c>
    </row>
    <row r="11" spans="1:10" x14ac:dyDescent="0.55000000000000004">
      <c r="C11" s="80"/>
      <c r="F11">
        <v>9</v>
      </c>
      <c r="G11" t="str">
        <f t="shared" ca="1" si="1"/>
        <v/>
      </c>
      <c r="H11" t="str">
        <f t="shared" ca="1" si="0"/>
        <v/>
      </c>
      <c r="I11" s="81" t="str">
        <f t="shared" ca="1" si="2"/>
        <v/>
      </c>
      <c r="J11" t="str">
        <f t="shared" ca="1" si="3"/>
        <v/>
      </c>
    </row>
    <row r="12" spans="1:10" x14ac:dyDescent="0.55000000000000004">
      <c r="C12" s="80"/>
      <c r="F12">
        <v>10</v>
      </c>
      <c r="G12" t="str">
        <f t="shared" ca="1" si="1"/>
        <v/>
      </c>
      <c r="H12" t="str">
        <f t="shared" ca="1" si="0"/>
        <v/>
      </c>
      <c r="I12" s="81" t="str">
        <f t="shared" ca="1" si="2"/>
        <v/>
      </c>
      <c r="J12" t="str">
        <f t="shared" ca="1" si="3"/>
        <v/>
      </c>
    </row>
  </sheetData>
  <sortState xmlns:xlrd2="http://schemas.microsoft.com/office/spreadsheetml/2017/richdata2" ref="A3:C14">
    <sortCondition descending="1" ref="A2"/>
  </sortState>
  <mergeCells count="2">
    <mergeCell ref="F1:I1"/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Tetris</vt:lpstr>
      <vt:lpstr>Score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A5072764</dc:creator>
  <cp:lastModifiedBy>Will</cp:lastModifiedBy>
  <cp:lastPrinted>2019-08-13T01:04:33Z</cp:lastPrinted>
  <dcterms:created xsi:type="dcterms:W3CDTF">2019-05-14T12:05:38Z</dcterms:created>
  <dcterms:modified xsi:type="dcterms:W3CDTF">2019-09-05T15:45:45Z</dcterms:modified>
</cp:coreProperties>
</file>